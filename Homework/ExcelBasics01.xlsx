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2A8E542B-F481-437F-AC65-071E681E7815}" xr6:coauthVersionLast="47" xr6:coauthVersionMax="47" xr10:uidLastSave="{00000000-0000-0000-0000-000000000000}"/>
  <bookViews>
    <workbookView xWindow="-120" yWindow="-120" windowWidth="29040" windowHeight="15720" tabRatio="644" firstSheet="4" activeTab="11" xr2:uid="{00000000-000D-0000-FFFF-FFFF00000000}"/>
  </bookViews>
  <sheets>
    <sheet name="EB01(C)" sheetId="8" r:id="rId1"/>
    <sheet name="Topics" sheetId="1" r:id="rId2"/>
    <sheet name="WIE" sheetId="2" r:id="rId3"/>
    <sheet name="Notes" sheetId="5" r:id="rId4"/>
    <sheet name="FinishedProject" sheetId="17" r:id="rId5"/>
    <sheet name="Gradebook" sheetId="12" r:id="rId6"/>
    <sheet name="GradebookW(1)(an)" sheetId="6" r:id="rId7"/>
    <sheet name="GradebookS(2)(an)" sheetId="10" r:id="rId8"/>
    <sheet name="GradebookBRBC(an)" sheetId="11" r:id="rId9"/>
    <sheet name="MyNotes" sheetId="9" r:id="rId10"/>
    <sheet name="Homework ==&gt;&gt;" sheetId="13" r:id="rId11"/>
    <sheet name="HW(1)" sheetId="14" r:id="rId12"/>
    <sheet name="HW(1an)" sheetId="16" r:id="rId13"/>
    <sheet name="Sheet1" sheetId="18" r:id="rId14"/>
  </sheets>
  <definedNames>
    <definedName name="_xlnm.Print_Area" localSheetId="0">'EB01(C)'!$B$2:$M$13</definedName>
    <definedName name="_xlnm.Print_Area" localSheetId="4">FinishedProject!$A$1:$Q$42</definedName>
    <definedName name="_xlnm.Print_Area" localSheetId="5">Gradebook!$B$1:$N$14</definedName>
    <definedName name="_xlnm.Print_Area" localSheetId="8">'GradebookBRBC(an)'!$B$1:$N$14</definedName>
    <definedName name="_xlnm.Print_Area" localSheetId="7">'GradebookS(2)(an)'!$B$1:$N$14</definedName>
    <definedName name="_xlnm.Print_Area" localSheetId="6">'GradebookW(1)(an)'!$B$1:$N$14</definedName>
    <definedName name="_xlnm.Print_Area" localSheetId="12">'HW(1an)'!$A$1:$R$32</definedName>
    <definedName name="_xlnm.Print_Area" localSheetId="3">Notes!$A$1:$A$115</definedName>
    <definedName name="_xlnm.Print_Area" localSheetId="2">WIE!$H$1:$W$41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4" l="1"/>
  <c r="N14" i="14"/>
  <c r="M14" i="14"/>
  <c r="K14" i="12"/>
  <c r="N14" i="12"/>
  <c r="M14" i="12"/>
  <c r="L14" i="12"/>
  <c r="C14" i="14" a="1"/>
  <c r="C14" i="14" s="1"/>
  <c r="O6" i="14" a="1"/>
  <c r="O6" i="14" s="1"/>
  <c r="M3" i="14"/>
  <c r="M6" i="14" a="1"/>
  <c r="M6" i="14" s="1"/>
  <c r="C14" i="12"/>
  <c r="D14" i="12"/>
  <c r="E14" i="12"/>
  <c r="F14" i="12"/>
  <c r="G14" i="12"/>
  <c r="H14" i="12"/>
  <c r="I14" i="12"/>
  <c r="J14" i="12"/>
  <c r="K9" i="12"/>
  <c r="K10" i="12"/>
  <c r="K11" i="12"/>
  <c r="K12" i="12"/>
  <c r="K13" i="12"/>
  <c r="L13" i="12" s="1"/>
  <c r="K8" i="12"/>
  <c r="L9" i="12"/>
  <c r="L10" i="12"/>
  <c r="L11" i="12"/>
  <c r="L12" i="12"/>
  <c r="M8" i="12" a="1"/>
  <c r="K5" i="12"/>
  <c r="Q36" i="2"/>
  <c r="V29" i="2"/>
  <c r="B59" i="17" a="1"/>
  <c r="B59" i="17" s="1"/>
  <c r="J14" i="17"/>
  <c r="I14" i="17"/>
  <c r="H14" i="17"/>
  <c r="G14" i="17"/>
  <c r="F14" i="17"/>
  <c r="E14" i="17"/>
  <c r="D14" i="17"/>
  <c r="C14" i="17"/>
  <c r="K13" i="17"/>
  <c r="L13" i="17" s="1"/>
  <c r="K12" i="17"/>
  <c r="L12" i="17" s="1"/>
  <c r="K11" i="17"/>
  <c r="L11" i="17" s="1"/>
  <c r="K10" i="17"/>
  <c r="L10" i="17" s="1"/>
  <c r="K9" i="17"/>
  <c r="L9" i="17" s="1"/>
  <c r="K8" i="17"/>
  <c r="K5" i="17"/>
  <c r="B56" i="16" a="1"/>
  <c r="B56" i="16" s="1"/>
  <c r="C52" i="16" a="1"/>
  <c r="C52" i="16" s="1"/>
  <c r="L14" i="16"/>
  <c r="K14" i="16"/>
  <c r="J14" i="16"/>
  <c r="I14" i="16"/>
  <c r="H14" i="16"/>
  <c r="G14" i="16"/>
  <c r="F14" i="16"/>
  <c r="E14" i="16"/>
  <c r="D14" i="16"/>
  <c r="C14" i="16"/>
  <c r="M13" i="16"/>
  <c r="M12" i="16"/>
  <c r="M11" i="16"/>
  <c r="M10" i="16"/>
  <c r="N10" i="16" s="1"/>
  <c r="M9" i="16"/>
  <c r="N9" i="16" s="1"/>
  <c r="M8" i="16"/>
  <c r="N8" i="16" s="1"/>
  <c r="M7" i="16"/>
  <c r="N7" i="16" s="1"/>
  <c r="M6" i="16"/>
  <c r="M3" i="16"/>
  <c r="B56" i="14" a="1"/>
  <c r="B56" i="14" s="1"/>
  <c r="C52" i="14" a="1"/>
  <c r="C52" i="14" s="1"/>
  <c r="K8" i="8"/>
  <c r="K9" i="8"/>
  <c r="K10" i="8"/>
  <c r="K11" i="8"/>
  <c r="K12" i="8"/>
  <c r="K7" i="8"/>
  <c r="K8" i="11" a="1"/>
  <c r="K8" i="11" s="1"/>
  <c r="L13" i="11"/>
  <c r="L11" i="11"/>
  <c r="L10" i="11"/>
  <c r="L9" i="11"/>
  <c r="K5" i="11"/>
  <c r="D14" i="10"/>
  <c r="E14" i="10"/>
  <c r="F14" i="10"/>
  <c r="G14" i="10"/>
  <c r="H14" i="10"/>
  <c r="I14" i="10"/>
  <c r="J14" i="10"/>
  <c r="K14" i="10"/>
  <c r="L14" i="10"/>
  <c r="M14" i="10"/>
  <c r="N14" i="10"/>
  <c r="C14" i="10"/>
  <c r="K13" i="10"/>
  <c r="K12" i="10"/>
  <c r="K11" i="10"/>
  <c r="K10" i="10"/>
  <c r="K9" i="10"/>
  <c r="K8" i="10"/>
  <c r="K5" i="10"/>
  <c r="D14" i="6"/>
  <c r="E14" i="6"/>
  <c r="F14" i="6"/>
  <c r="G14" i="6"/>
  <c r="H14" i="6"/>
  <c r="I14" i="6"/>
  <c r="J14" i="6"/>
  <c r="K14" i="6"/>
  <c r="L14" i="6"/>
  <c r="M14" i="6"/>
  <c r="N14" i="6"/>
  <c r="C14" i="6"/>
  <c r="K9" i="6"/>
  <c r="K10" i="6"/>
  <c r="K11" i="6"/>
  <c r="K12" i="6"/>
  <c r="K13" i="6"/>
  <c r="K8" i="6"/>
  <c r="L11" i="6"/>
  <c r="L13" i="6"/>
  <c r="L9" i="6"/>
  <c r="L10" i="6"/>
  <c r="L12" i="6"/>
  <c r="K5" i="6"/>
  <c r="J39" i="2"/>
  <c r="J13" i="8"/>
  <c r="I13" i="8"/>
  <c r="H13" i="8"/>
  <c r="G13" i="8"/>
  <c r="F13" i="8"/>
  <c r="E13" i="8"/>
  <c r="D13" i="8"/>
  <c r="C13" i="8"/>
  <c r="K4" i="8"/>
  <c r="B3" i="1" a="1"/>
  <c r="M39" i="2"/>
  <c r="K30" i="2"/>
  <c r="J15" i="2"/>
  <c r="B16" i="17"/>
  <c r="G17" i="16"/>
  <c r="B21" i="17"/>
  <c r="L15" i="2"/>
  <c r="B20" i="16"/>
  <c r="B17" i="16" a="1"/>
  <c r="Q37" i="2"/>
  <c r="G20" i="16"/>
  <c r="B17" i="17" a="1"/>
  <c r="B16" i="16"/>
  <c r="V30" i="2"/>
  <c r="J21" i="17"/>
  <c r="J17" i="17" a="1"/>
  <c r="N6" i="14" l="1" a="1"/>
  <c r="N6" i="14" s="1"/>
  <c r="M8" i="12"/>
  <c r="N8" i="12" a="1"/>
  <c r="N8" i="12" s="1"/>
  <c r="M16" i="12"/>
  <c r="L8" i="12"/>
  <c r="B17" i="17"/>
  <c r="B17" i="16"/>
  <c r="J17" i="17"/>
  <c r="M8" i="17" a="1"/>
  <c r="L8" i="17"/>
  <c r="L14" i="17" s="1"/>
  <c r="K14" i="17"/>
  <c r="N13" i="16"/>
  <c r="N12" i="16"/>
  <c r="N11" i="16"/>
  <c r="N6" i="16"/>
  <c r="M14" i="16"/>
  <c r="L12" i="11"/>
  <c r="M8" i="11" a="1"/>
  <c r="L8" i="11"/>
  <c r="L12" i="10"/>
  <c r="L13" i="10"/>
  <c r="L11" i="10"/>
  <c r="L10" i="10"/>
  <c r="L9" i="10"/>
  <c r="M8" i="10" a="1"/>
  <c r="L8" i="10"/>
  <c r="M8" i="6" a="1"/>
  <c r="L8" i="6"/>
  <c r="L11" i="8"/>
  <c r="M12" i="8" s="1"/>
  <c r="L9" i="8"/>
  <c r="M10" i="8" s="1"/>
  <c r="L7" i="8"/>
  <c r="M8" i="8" s="1"/>
  <c r="L10" i="8"/>
  <c r="M11" i="8" s="1"/>
  <c r="L8" i="8"/>
  <c r="M9" i="8" s="1"/>
  <c r="L6" i="8"/>
  <c r="K13" i="8"/>
  <c r="B3" i="1"/>
  <c r="M8" i="17" l="1"/>
  <c r="N14" i="16"/>
  <c r="O6" i="16" a="1"/>
  <c r="O6" i="16" s="1"/>
  <c r="O14" i="16" s="1"/>
  <c r="M8" i="11"/>
  <c r="M17" i="11"/>
  <c r="M17" i="10"/>
  <c r="M8" i="10"/>
  <c r="M17" i="6"/>
  <c r="M8" i="6"/>
  <c r="N8" i="6" s="1" a="1"/>
  <c r="N8" i="6" s="1"/>
  <c r="L12" i="8"/>
  <c r="M7" i="8"/>
  <c r="M13" i="8" s="1"/>
  <c r="M14" i="17" l="1"/>
  <c r="N8" i="17" a="1"/>
  <c r="N8" i="17" s="1"/>
  <c r="N8" i="11" a="1"/>
  <c r="N8" i="11" s="1"/>
  <c r="C14" i="11" s="1" a="1"/>
  <c r="C14" i="11" s="1"/>
  <c r="N8" i="10" a="1"/>
  <c r="N8" i="10" s="1"/>
  <c r="N14" i="17" l="1"/>
  <c r="C56" i="17" a="1"/>
  <c r="C56" i="1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<sst xmlns="http://schemas.openxmlformats.org/spreadsheetml/2006/main" count="16852" uniqueCount="209">
  <si>
    <t>What is Excel?</t>
  </si>
  <si>
    <t>Fill Handle &amp; Angry Rabbit</t>
  </si>
  <si>
    <t>Default Alignment</t>
  </si>
  <si>
    <t>Enter Data</t>
  </si>
  <si>
    <t>Dynamic Spilled Array Formulas</t>
  </si>
  <si>
    <t>Number Formatting</t>
  </si>
  <si>
    <t>Excel’s Golden Rule</t>
  </si>
  <si>
    <t>Two-way grid</t>
  </si>
  <si>
    <t>Column = Letter</t>
  </si>
  <si>
    <t>Row = Number</t>
  </si>
  <si>
    <t>Cell = Intersection of Column and Row</t>
  </si>
  <si>
    <t>Worksheet = All Cells</t>
  </si>
  <si>
    <t>Workbook = File = All Worksheets (and other behind the scenes things such as: (Queries, Data Model and VBA)</t>
  </si>
  <si>
    <t>Total:</t>
  </si>
  <si>
    <t>Sales</t>
  </si>
  <si>
    <t>Ribbon has tabs, tabs have groups and groups have buttons and dropdowns to enact commands</t>
  </si>
  <si>
    <t>QAT (Quick Access Toolbar) has buttons to enact commands</t>
  </si>
  <si>
    <t>1)</t>
  </si>
  <si>
    <t>2)</t>
  </si>
  <si>
    <t>Product</t>
  </si>
  <si>
    <t>Quad</t>
  </si>
  <si>
    <t>Carlota</t>
  </si>
  <si>
    <t>Worksheet Formula that results in number answer</t>
  </si>
  <si>
    <t>Text is aligned to left</t>
  </si>
  <si>
    <t>Numbers are aligned to right</t>
  </si>
  <si>
    <t>Logical Values (Boolean) are aligned center and Capitalized</t>
  </si>
  <si>
    <t>Word</t>
  </si>
  <si>
    <t>Excel</t>
  </si>
  <si>
    <t>Text:</t>
  </si>
  <si>
    <t>Number:</t>
  </si>
  <si>
    <t>Logical:</t>
  </si>
  <si>
    <t>Default Alignment indicates Data Type:</t>
  </si>
  <si>
    <t>Grand Total</t>
  </si>
  <si>
    <t>Sum of Sales</t>
  </si>
  <si>
    <t>Names</t>
  </si>
  <si>
    <t>Sioux</t>
  </si>
  <si>
    <t>Gigi</t>
  </si>
  <si>
    <t>Chantel</t>
  </si>
  <si>
    <t>Dean</t>
  </si>
  <si>
    <t>Miki</t>
  </si>
  <si>
    <t>Mo</t>
  </si>
  <si>
    <t>Test 1</t>
  </si>
  <si>
    <t>Test 2</t>
  </si>
  <si>
    <t>Test 3</t>
  </si>
  <si>
    <t>Test 4</t>
  </si>
  <si>
    <t>Selection Cursor</t>
  </si>
  <si>
    <t>Move Cursor</t>
  </si>
  <si>
    <t>Fill Handle</t>
  </si>
  <si>
    <t>Quiz 1</t>
  </si>
  <si>
    <t>Quiz 2</t>
  </si>
  <si>
    <t>Quiz 3</t>
  </si>
  <si>
    <t>Quiz 4</t>
  </si>
  <si>
    <t>Ctrl + ; = Todays Date</t>
  </si>
  <si>
    <t>Jan</t>
  </si>
  <si>
    <t>Feb</t>
  </si>
  <si>
    <t>Mar</t>
  </si>
  <si>
    <t>Apr</t>
  </si>
  <si>
    <t>May</t>
  </si>
  <si>
    <t>Monday</t>
  </si>
  <si>
    <t>Tuesday</t>
  </si>
  <si>
    <t>Wednesday</t>
  </si>
  <si>
    <t>Thursday</t>
  </si>
  <si>
    <t>Friday</t>
  </si>
  <si>
    <t>Total</t>
  </si>
  <si>
    <t>% Grade</t>
  </si>
  <si>
    <t>Max Scores</t>
  </si>
  <si>
    <t>Ctrl + Enter = Put thing in cell and keep cell selected</t>
  </si>
  <si>
    <t>Tab = Put thing in cell and move selected cell to right</t>
  </si>
  <si>
    <t>Enter = Put thing in cell and move selected cell down</t>
  </si>
  <si>
    <t>Ctrl + * (Ctrl + Shift + 8) = select current range (everything until it bumps into all empty cells)</t>
  </si>
  <si>
    <t>Average</t>
  </si>
  <si>
    <t>Style Formatting = Fill Color, Font Color, Borders and more (Not Number Formatting)</t>
  </si>
  <si>
    <t>Enter data into selected range: Enter moves down until last cell and then jumps to top of next column.</t>
  </si>
  <si>
    <t>Alt + = = SUM Function</t>
  </si>
  <si>
    <t>Tab = When function name is highlighted in blue, Tab, enters the function into the formula</t>
  </si>
  <si>
    <t>All formulas start with an = sign as the first character in the cell</t>
  </si>
  <si>
    <t>Extra Points</t>
  </si>
  <si>
    <t>Cell References are used in formulas to refer to cells with numbers and other content, like K2 or C7:J7</t>
  </si>
  <si>
    <t>Absolute Cell Reference is created with F4 key. A $ sign is put in front of Column Reference and Row Reference, so cell reference will not move throughout copy action.</t>
  </si>
  <si>
    <t>Decimal Grade</t>
  </si>
  <si>
    <t>Relative Cell References = When you copy formula, the cell reference moves relative the  cell with the formula</t>
  </si>
  <si>
    <t>F2 = put cell in Edit Mode and place cursor at end of formula</t>
  </si>
  <si>
    <t>Error Message is centered</t>
  </si>
  <si>
    <t>Error</t>
  </si>
  <si>
    <t>Total Possible Points</t>
  </si>
  <si>
    <t>Arrow Key = when creating a formula in Edit Mode, Arrow Keys will hunt for cell references</t>
  </si>
  <si>
    <t>Ctrl + Arrow will jump selected cell down to last cell with data</t>
  </si>
  <si>
    <t>Ctrl + Shift + Arrow will select range down to last cell with data</t>
  </si>
  <si>
    <t>Formula only lives in top cell</t>
  </si>
  <si>
    <t>Cells below top cell show ghost formulas, but do not actually have a formula in the cell</t>
  </si>
  <si>
    <t>Cross Hair = Angry Rabbit Cursor</t>
  </si>
  <si>
    <t>Benefits: Usually do not have to lock cell references, do not have to manually copy formula, and editing is only done in top cell</t>
  </si>
  <si>
    <t>If you type data in the path of the spilled array, you get a #SPILL! Error</t>
  </si>
  <si>
    <t>Cursors:</t>
  </si>
  <si>
    <t>F4 = When cursor touching cell reference in Edit Mode, F4 adds dollar signs to lock the row and column references</t>
  </si>
  <si>
    <t>Calculation / Formula Types:</t>
  </si>
  <si>
    <t>An array formula is a formula where there is two or more items (in a range or an array) on either side of the operator (like math * or /, or in a function argument) are then causes the formula to deliver more than one answer that spills to the cells below the cell with the formula. A Dynamic Spilled Array Formula is "dynamic" because if the results expand or contact, the spilled range expands or contracts.</t>
  </si>
  <si>
    <t>When making a formula you can refer to any cell in the dynamic spilled range with a cell reference</t>
  </si>
  <si>
    <t>Page Setup dialog box = Page Layout Ribbon tab, Page Setup group, Dialog Launch arrow in lower right corner (keyboard = Alt, P, S, P)</t>
  </si>
  <si>
    <t>Number Formatting is a façade. Number Formatting displays a number in a certain way on the surface of the cell, without changing the underlying number.</t>
  </si>
  <si>
    <t>* Use the General Number Formatting to wipe away all Number Formatting and see what number is actually in the cell.</t>
  </si>
  <si>
    <t>&lt;= Which one is right? =&gt;</t>
  </si>
  <si>
    <t>#1 most ask question in online Excel formulas for decades is about Number Formatting.</t>
  </si>
  <si>
    <t>Page Setup</t>
  </si>
  <si>
    <t>Excel Basis #1: Formulas, Functions, Formatting, Cell References &amp; Page Setup</t>
  </si>
  <si>
    <t>Old School Formulas</t>
  </si>
  <si>
    <t>SUM, AVERAGE &amp; XLOOKUP Built-in Functions</t>
  </si>
  <si>
    <t>Sheet Tab = Name of Worksheet. You can select (or activate) a worksheet with your mouse cursor.</t>
  </si>
  <si>
    <t>Keyboard to move (activate) the next sheet:</t>
  </si>
  <si>
    <t>Open Activate dialog box: Right-click Scroll Arrows</t>
  </si>
  <si>
    <t>Ctrl + PgDn = move to right and activate next sheet</t>
  </si>
  <si>
    <t>Ctrl + PgUp = move to left and activate next sheet</t>
  </si>
  <si>
    <t>Excel does two things: 1) Calculations, like Worksheet Formula, and 2) Data Analysis, like PivotTable</t>
  </si>
  <si>
    <t>Worksheet Formula that result in text answer</t>
  </si>
  <si>
    <t>Database Export</t>
  </si>
  <si>
    <t>Total?</t>
  </si>
  <si>
    <t>35</t>
  </si>
  <si>
    <t>80</t>
  </si>
  <si>
    <t>12</t>
  </si>
  <si>
    <t>Tax Rate</t>
  </si>
  <si>
    <t>Tax $</t>
  </si>
  <si>
    <t>Jun</t>
  </si>
  <si>
    <t>Jul</t>
  </si>
  <si>
    <t>Aug</t>
  </si>
  <si>
    <t>Sep</t>
  </si>
  <si>
    <t>Oct</t>
  </si>
  <si>
    <t>Mon</t>
  </si>
  <si>
    <t>Tue</t>
  </si>
  <si>
    <t>Wed</t>
  </si>
  <si>
    <t>Thu</t>
  </si>
  <si>
    <t>Fri</t>
  </si>
  <si>
    <t>Sat</t>
  </si>
  <si>
    <t>Sun</t>
  </si>
  <si>
    <t>Name</t>
  </si>
  <si>
    <t>Max Points</t>
  </si>
  <si>
    <t>* lookup_array and return_array must be the same size.</t>
  </si>
  <si>
    <t>0 - Exact Match = Default. "Quad" matches "Quad". "Quad  " does NOT match "Quad". If no match and nothing in 4th argument, #N/A.</t>
  </si>
  <si>
    <t>-1 - Exact Match or Next Smaller = Use for items like tax rates and commission rates. Values do not have to be sorted.</t>
  </si>
  <si>
    <t>1 - Exact Match or Next Bigger = Use for items like square footage. Values do not have to be sorted.</t>
  </si>
  <si>
    <t>2 - Wildcards =&gt;  *  = zero or more characters,  ?  = single character.  "Quad*" finds anything that begins with "Quad".  "*?" finds any text.</t>
  </si>
  <si>
    <t>1 - Search First to Last = Default. When there are duplicates, it gets FIRST ONE!</t>
  </si>
  <si>
    <t>-1 - Search Last To First = When there are Duplicates, it gets LAST ONE!</t>
  </si>
  <si>
    <t>2 - Binary search for Smallest To Biggest Sort = Column must be sorted. Like old VLOOKUP and MATCH Approximate Match Lookup.</t>
  </si>
  <si>
    <t>2 - Binary search for Biggest To Smallest Sort = Column must be sorted. Like old MATCH -1 Approximate Match Lookup.</t>
  </si>
  <si>
    <t>3 - Regex = coding language to extract text</t>
  </si>
  <si>
    <t>Extra Credit</t>
  </si>
  <si>
    <t>Functions shown in video:</t>
  </si>
  <si>
    <t>Number1    Required. The first number, cell reference, or range for which you want the average.</t>
  </si>
  <si>
    <t>number = Number that you want to round.</t>
  </si>
  <si>
    <t>num_digits = Position that you want to round to. 4 = 4th position to the right of the decimal. 2 = to the penny. 0 = to the dollar.</t>
  </si>
  <si>
    <t>lookup_value = item used to find match in lookup_array</t>
  </si>
  <si>
    <t>lookup_array = yields relative position to be used to retrieve item in return_array</t>
  </si>
  <si>
    <t>return_array = contains items that you want to lookup or retrieve</t>
  </si>
  <si>
    <t>[if_not_found] = what to put in cell if lookup_value is not found in lookup_array</t>
  </si>
  <si>
    <t>[match_mode] =</t>
  </si>
  <si>
    <t>[search_mode] =</t>
  </si>
  <si>
    <t>value = the value that is checked for an error.</t>
  </si>
  <si>
    <t>value_if_error = The value to return if the formula evaluates to an error. The following error types are evaluated: #N/A, #VALUE!, #REF!, #DIV/0!, #NUM!, #NAME?, or #NULL!.</t>
  </si>
  <si>
    <t>Number2, ...    Optional. Additional numbers, cell references or ranges for which you want the average, up to a maximum of 255.</t>
  </si>
  <si>
    <t>Ctrl + B = Bold      and       Ctrl + U = Underline</t>
  </si>
  <si>
    <t>Ctrl + 1 = open Format Cells dialog box</t>
  </si>
  <si>
    <t>Student Name</t>
  </si>
  <si>
    <t>Dean Washington</t>
  </si>
  <si>
    <t>Kenny Noline</t>
  </si>
  <si>
    <t>Shinnay Mims</t>
  </si>
  <si>
    <t>Gigi Gabar</t>
  </si>
  <si>
    <t>Test 5</t>
  </si>
  <si>
    <t>Test 6</t>
  </si>
  <si>
    <t>MidTerm</t>
  </si>
  <si>
    <t>Test 7</t>
  </si>
  <si>
    <t>Final</t>
  </si>
  <si>
    <t>Timmy Cartman</t>
  </si>
  <si>
    <t>Lin Pham</t>
  </si>
  <si>
    <t>Miki Ito</t>
  </si>
  <si>
    <t>Mohamed Aziz</t>
  </si>
  <si>
    <t>OR:</t>
  </si>
  <si>
    <t>Bottom of lookup table:</t>
  </si>
  <si>
    <t>Using the picture below, create the gradebook as shown in the picture below. A solution is also shown on the worksheet "HW(1an)".</t>
  </si>
  <si>
    <t>Excel's Golden Rule:</t>
  </si>
  <si>
    <r>
      <rPr>
        <i/>
        <sz val="11"/>
        <color theme="1"/>
        <rFont val="Calibri"/>
        <family val="2"/>
        <scheme val="minor"/>
      </rPr>
      <t>If a formula input can change, put it in a cell, label it, and refer to it in the formula with a cell reference. If the input will never change, like 24 hours in a day, then you can hard code it into formula.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Examples of formula inputs that can change:</t>
    </r>
    <r>
      <rPr>
        <sz val="11"/>
        <color theme="1"/>
        <rFont val="Calibri"/>
        <family val="2"/>
        <scheme val="minor"/>
      </rPr>
      <t xml:space="preserve"> SalesRep name like: Luong, Sales amount like: 100, Tax Rates like: 0.0375 or 3.75%,
Sales Hurdles like: &gt;500.
</t>
    </r>
    <r>
      <rPr>
        <b/>
        <sz val="11"/>
        <color theme="1"/>
        <rFont val="Calibri"/>
        <family val="2"/>
        <scheme val="minor"/>
      </rPr>
      <t>Examples of formula inputs that will not change:</t>
    </r>
    <r>
      <rPr>
        <sz val="11"/>
        <color theme="1"/>
        <rFont val="Calibri"/>
        <family val="2"/>
        <scheme val="minor"/>
      </rPr>
      <t xml:space="preserve"> Months in a year: 12, Hours in a day: 24, Days in a week: 7.</t>
    </r>
  </si>
  <si>
    <t>Shift + Enter = Put thing in cell and move selected cell up</t>
  </si>
  <si>
    <t>Put data or formula in cell:</t>
  </si>
  <si>
    <t>Creating formulas:</t>
  </si>
  <si>
    <t>Useful keyboards:</t>
  </si>
  <si>
    <t>Use Angry Rabbit to increment Text and Numbers, Dates, Numbers, Months and more. Use it to copy numbers and formulas.</t>
  </si>
  <si>
    <t>Formatting:</t>
  </si>
  <si>
    <t>Formulas do not see Number Formatting. Formulas act on the underlying number.</t>
  </si>
  <si>
    <t>Number Formatting is a façade. Number Formatting displays a number in a certain way on the surface of the cell, without changing the underlying number. Formulas do not see Number Formatting. Formulas act on the underlying number.</t>
  </si>
  <si>
    <t xml:space="preserve"> </t>
  </si>
  <si>
    <t>Page Setup:</t>
  </si>
  <si>
    <t>Tabs: Page, Margins, Header/Footer, Sheet</t>
  </si>
  <si>
    <r>
      <rPr>
        <b/>
        <sz val="11"/>
        <color theme="1"/>
        <rFont val="Calibri"/>
        <family val="2"/>
        <scheme val="minor"/>
      </rPr>
      <t>Single-Input Single-Output</t>
    </r>
    <r>
      <rPr>
        <sz val="11"/>
        <color theme="1"/>
        <rFont val="Calibri"/>
        <family val="2"/>
        <scheme val="minor"/>
      </rPr>
      <t xml:space="preserve"> formulas (Old School Formulas) = have to lock cell references, manually copy formula, and editing must be done in top cell and then you must re-copy formula through range. Because a single input is placed on either side of an operator, or in a function argument, the formula can only deliver a single answer.</t>
    </r>
  </si>
  <si>
    <r>
      <rPr>
        <b/>
        <sz val="11"/>
        <color theme="1"/>
        <rFont val="Calibri"/>
        <family val="2"/>
        <scheme val="minor"/>
      </rPr>
      <t>Dynamic Spilled Array Formulas</t>
    </r>
    <r>
      <rPr>
        <sz val="11"/>
        <color theme="1"/>
        <rFont val="Calibri"/>
        <family val="2"/>
        <scheme val="minor"/>
      </rPr>
      <t xml:space="preserve"> (DSAF):</t>
    </r>
  </si>
  <si>
    <r>
      <rPr>
        <b/>
        <sz val="11"/>
        <color theme="1"/>
        <rFont val="Calibri"/>
        <family val="2"/>
        <scheme val="minor"/>
      </rPr>
      <t xml:space="preserve">Aggregate </t>
    </r>
    <r>
      <rPr>
        <sz val="11"/>
        <color theme="1"/>
        <rFont val="Calibri"/>
        <family val="2"/>
        <scheme val="minor"/>
      </rPr>
      <t>calculation = From many numbers (range or array) to calculate one answer, like SUM to get a total or AVERAGE to calculate the average (mean: add up and divide by the count)</t>
    </r>
  </si>
  <si>
    <r>
      <rPr>
        <b/>
        <sz val="11"/>
        <color theme="1"/>
        <rFont val="Calibri"/>
        <family val="2"/>
        <scheme val="minor"/>
      </rPr>
      <t>ROUND</t>
    </r>
    <r>
      <rPr>
        <sz val="11"/>
        <color theme="1"/>
        <rFont val="Calibri"/>
        <family val="2"/>
        <scheme val="minor"/>
      </rPr>
      <t>(number,num_digits) = Round a number.</t>
    </r>
  </si>
  <si>
    <r>
      <rPr>
        <b/>
        <sz val="11"/>
        <color theme="1"/>
        <rFont val="Calibri"/>
        <family val="2"/>
        <scheme val="minor"/>
      </rPr>
      <t>XLOOKUP</t>
    </r>
    <r>
      <rPr>
        <sz val="11"/>
        <color theme="1"/>
        <rFont val="Calibri"/>
        <family val="2"/>
        <scheme val="minor"/>
      </rPr>
      <t>(lookup_value,lookup_array,return_array,[if_not_found],[match_mode],[search_mode]) = Lookup a value.</t>
    </r>
  </si>
  <si>
    <r>
      <rPr>
        <b/>
        <sz val="11"/>
        <color theme="1"/>
        <rFont val="Calibri"/>
        <family val="2"/>
        <scheme val="minor"/>
      </rPr>
      <t>IFERROR</t>
    </r>
    <r>
      <rPr>
        <sz val="11"/>
        <color theme="1"/>
        <rFont val="Calibri"/>
        <family val="2"/>
        <scheme val="minor"/>
      </rPr>
      <t>(value, value_if_error) = replace error with value.</t>
    </r>
  </si>
  <si>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>(number1, [number2], ...) = adds numbers to get a total.</t>
    </r>
  </si>
  <si>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(number1, [number2], ...) = Returns the average (arithmetic mean) of the arguments (add numbers then divide by the count)</t>
    </r>
  </si>
  <si>
    <t>Enter cell references into formula with Mouse or Arrow Keys. Use Arrows when cell is close, use Mouse when cell is not close.</t>
  </si>
  <si>
    <t>Shift Selection Trick: Click cell, hold Shift, Click last cell to highlight everything in between</t>
  </si>
  <si>
    <t>Ctrl Selection Trick: Click cell, hold Ctrl, Click other cell to highlight cells that are not next to each other (noncontiguous cells)</t>
  </si>
  <si>
    <t>GiGi</t>
  </si>
  <si>
    <t>Excel golden Rule</t>
  </si>
  <si>
    <t>If number change</t>
  </si>
  <si>
    <t>put reference</t>
  </si>
  <si>
    <t>GiGi Gabar</t>
  </si>
  <si>
    <t>kenny Noline</t>
  </si>
  <si>
    <t>%Grade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</si>
</sst>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Aptos"/>
      <family val="2"/>
    </font>
    <font>
      <sz val="11"/>
      <color theme="0"/>
      <name val="Calibri"/>
      <family val="2"/>
      <scheme val="minor"/>
    </font>
    <font>
      <b/>
      <sz val="22"/>
      <color theme="0"/>
      <name val="Aptos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0" fillId="5" borderId="1" xfId="0" applyFill="1" applyBorder="1"/>
    <xf numFmtId="0" fontId="1" fillId="6" borderId="1" xfId="0" applyFont="1" applyFill="1" applyBorder="1"/>
    <xf numFmtId="18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4" xfId="0" applyFill="1" applyBorder="1"/>
    <xf numFmtId="0" fontId="1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wrapText="1" indent="2"/>
    </xf>
    <xf numFmtId="0" fontId="0" fillId="0" borderId="0" xfId="0" quotePrefix="1"/>
    <xf numFmtId="10" fontId="0" fillId="5" borderId="4" xfId="0" applyNumberFormat="1" applyFill="1" applyBorder="1"/>
    <xf numFmtId="10" fontId="0" fillId="5" borderId="1" xfId="0" applyNumberFormat="1" applyFill="1" applyBorder="1"/>
    <xf numFmtId="164" fontId="0" fillId="5" borderId="4" xfId="0" applyNumberFormat="1" applyFill="1" applyBorder="1"/>
    <xf numFmtId="0" fontId="0" fillId="7" borderId="1" xfId="0" applyFill="1" applyBorder="1"/>
    <xf numFmtId="10" fontId="0" fillId="7" borderId="1" xfId="0" applyNumberFormat="1" applyFill="1" applyBorder="1"/>
    <xf numFmtId="164" fontId="0" fillId="7" borderId="1" xfId="0" applyNumberForma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7" fillId="8" borderId="0" xfId="0" applyFont="1" applyFill="1"/>
    <xf numFmtId="0" fontId="8" fillId="8" borderId="0" xfId="0" applyFont="1" applyFill="1" applyAlignment="1">
      <alignment vertical="center"/>
    </xf>
    <xf numFmtId="2" fontId="0" fillId="7" borderId="2" xfId="0" applyNumberFormat="1" applyFill="1" applyBorder="1"/>
    <xf numFmtId="2" fontId="0" fillId="7" borderId="1" xfId="0" applyNumberFormat="1" applyFill="1" applyBorder="1"/>
    <xf numFmtId="0" fontId="0" fillId="9" borderId="0" xfId="0" applyFill="1"/>
    <xf numFmtId="0" fontId="6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0" fillId="0" borderId="0" xfId="0" applyAlignment="1">
      <alignment horizontal="left" indent="2"/>
    </xf>
    <xf numFmtId="14" fontId="0" fillId="0" borderId="0" xfId="0" quotePrefix="1" applyNumberFormat="1"/>
    <xf numFmtId="0" fontId="0" fillId="0" borderId="0" xfId="0" applyAlignment="1">
      <alignment horizontal="centerContinuous"/>
    </xf>
    <xf numFmtId="0" fontId="7" fillId="6" borderId="1" xfId="0" applyFont="1" applyFill="1" applyBorder="1"/>
    <xf numFmtId="1" fontId="0" fillId="5" borderId="1" xfId="0" applyNumberFormat="1" applyFill="1" applyBorder="1"/>
    <xf numFmtId="165" fontId="0" fillId="5" borderId="1" xfId="0" applyNumberFormat="1" applyFill="1" applyBorder="1"/>
    <xf numFmtId="0" fontId="2" fillId="0" borderId="3" xfId="0" applyFont="1" applyBorder="1" applyAlignment="1">
      <alignment wrapText="1"/>
    </xf>
    <xf numFmtId="0" fontId="0" fillId="0" borderId="5" xfId="0" applyBorder="1" applyAlignment="1">
      <alignment horizontal="left" wrapText="1" indent="2"/>
    </xf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 wrapText="1" indent="3"/>
    </xf>
    <xf numFmtId="0" fontId="0" fillId="0" borderId="4" xfId="0" applyBorder="1" applyAlignment="1">
      <alignment horizontal="left" wrapText="1" indent="3"/>
    </xf>
    <xf numFmtId="0" fontId="0" fillId="0" borderId="4" xfId="0" applyBorder="1" applyAlignment="1">
      <alignment horizontal="left" wrapText="1" indent="2"/>
    </xf>
    <xf numFmtId="1" fontId="0" fillId="0" borderId="1" xfId="0" applyNumberFormat="1" applyBorder="1"/>
    <xf numFmtId="0" fontId="0" fillId="0" borderId="1" xfId="1" applyNumberFormat="1" applyFont="1" applyBorder="1"/>
    <xf numFmtId="166" fontId="0" fillId="0" borderId="1" xfId="0" applyNumberFormat="1" applyBorder="1"/>
    <xf numFmtId="0" fontId="2" fillId="0" borderId="0" xfId="0" applyFont="1" applyAlignment="1">
      <alignment horizontal="right"/>
    </xf>
    <xf numFmtId="0" fontId="0" fillId="10" borderId="0" xfId="0" applyFill="1"/>
    <xf numFmtId="0" fontId="0" fillId="0" borderId="1" xfId="0" applyBorder="1" applyAlignment="1">
      <alignment horizontal="left" wrapText="1" indent="3"/>
    </xf>
    <xf numFmtId="0" fontId="0" fillId="0" borderId="0" xfId="0" applyAlignment="1">
      <alignment horizontal="left" indent="3"/>
    </xf>
    <xf numFmtId="0" fontId="2" fillId="0" borderId="1" xfId="0" applyFont="1" applyBorder="1" applyAlignment="1">
      <alignment horizontal="left" wrapText="1"/>
    </xf>
    <xf numFmtId="0" fontId="0" fillId="0" borderId="4" xfId="0" applyBorder="1" applyAlignment="1">
      <alignment horizontal="left" wrapText="1" indent="1"/>
    </xf>
    <xf numFmtId="0" fontId="0" fillId="0" borderId="3" xfId="0" applyBorder="1" applyAlignment="1">
      <alignment horizontal="left" wrapText="1" indent="1"/>
    </xf>
    <xf numFmtId="0" fontId="0" fillId="0" borderId="3" xfId="0" applyBorder="1" applyAlignment="1">
      <alignment horizontal="left" indent="1"/>
    </xf>
    <xf numFmtId="0" fontId="7" fillId="11" borderId="1" xfId="0" applyFont="1" applyFill="1" applyBorder="1"/>
    <xf numFmtId="0" fontId="7" fillId="12" borderId="1" xfId="0" applyFont="1" applyFill="1" applyBorder="1"/>
    <xf numFmtId="0" fontId="7" fillId="12" borderId="6" xfId="0" applyFont="1" applyFill="1" applyBorder="1"/>
    <xf numFmtId="0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14</xdr:row>
      <xdr:rowOff>63500</xdr:rowOff>
    </xdr:from>
    <xdr:to>
      <xdr:col>9</xdr:col>
      <xdr:colOff>217714</xdr:colOff>
      <xdr:row>15</xdr:row>
      <xdr:rowOff>167822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125E1B7-9E62-9F67-7BC2-774F5106E3C6}"/>
            </a:ext>
          </a:extLst>
        </xdr:cNvPr>
        <xdr:cNvCxnSpPr/>
      </xdr:nvCxnSpPr>
      <xdr:spPr>
        <a:xfrm flipV="1">
          <a:off x="4848679" y="2667000"/>
          <a:ext cx="90714" cy="29028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920750</xdr:colOff>
      <xdr:row>14</xdr:row>
      <xdr:rowOff>77107</xdr:rowOff>
    </xdr:from>
    <xdr:to>
      <xdr:col>12</xdr:col>
      <xdr:colOff>18143</xdr:colOff>
      <xdr:row>15</xdr:row>
      <xdr:rowOff>31750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83569D6-EA91-C9D9-D1E5-CECF983B4E1F}"/>
            </a:ext>
          </a:extLst>
        </xdr:cNvPr>
        <xdr:cNvCxnSpPr/>
      </xdr:nvCxnSpPr>
      <xdr:spPr>
        <a:xfrm flipH="1" flipV="1">
          <a:off x="6985000" y="2680607"/>
          <a:ext cx="154214" cy="14060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258418</xdr:colOff>
      <xdr:row>1</xdr:row>
      <xdr:rowOff>0</xdr:rowOff>
    </xdr:from>
    <xdr:to>
      <xdr:col>18</xdr:col>
      <xdr:colOff>6627</xdr:colOff>
      <xdr:row>5</xdr:row>
      <xdr:rowOff>178905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4941094-6051-3F82-5D80-E81802803291}"/>
            </a:ext>
          </a:extLst>
        </xdr:cNvPr>
        <xdr:cNvCxnSpPr/>
      </xdr:nvCxnSpPr>
      <xdr:spPr>
        <a:xfrm flipV="1">
          <a:off x="9965635" y="185530"/>
          <a:ext cx="516835" cy="9210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2042160</xdr:colOff>
      <xdr:row>0</xdr:row>
      <xdr:rowOff>121920</xdr:rowOff>
    </xdr:from>
    <xdr:to>
      <xdr:col>0</xdr:col>
      <xdr:colOff>4244340</xdr:colOff>
      <xdr:row>4</xdr:row>
      <xdr:rowOff>22861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CC414F1-847C-434B-BBD5-0195C094EFDF}"/>
            </a:ext>
          </a:extLst>
        </xdr:cNvPr>
        <xdr:cNvGrpSpPr/>
      </xdr:nvGrpSpPr>
      <xdr:grpSpPr>
        <a:xfrm>
          <a:off x="2042160" y="121920"/>
          <a:ext cx="2202180" cy="662941"/>
          <a:chOff x="0" y="0"/>
          <a:chExt cx="3721354" cy="885643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F0A73893-D659-37FB-DD84-DEC7D77A63B9}"/>
              </a:ext>
            </a:extLst>
          </xdr:cNvPr>
          <xdr:cNvSpPr/>
        </xdr:nvSpPr>
        <xdr:spPr>
          <a:xfrm>
            <a:off x="1951355" y="695706"/>
            <a:ext cx="42144" cy="18993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Aft>
                <a:spcPts val="800"/>
              </a:spcAft>
            </a:pPr>
            <a:r>
              <a:rPr lang="en-US" sz="1100" kern="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C36E090D-385E-DC01-B3EB-400644D9040F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951101" cy="798195"/>
          </a:xfrm>
          <a:prstGeom prst="rect">
            <a:avLst/>
          </a:prstGeom>
        </xdr:spPr>
      </xdr:pic>
      <xdr:sp macro="" textlink="">
        <xdr:nvSpPr>
          <xdr:cNvPr id="21" name="Shape 187">
            <a:extLst>
              <a:ext uri="{FF2B5EF4-FFF2-40B4-BE49-F238E27FC236}">
                <a16:creationId xmlns:a16="http://schemas.microsoft.com/office/drawing/2014/main" id="{1B1A1A8C-E172-7E85-52FB-CF187F53E0DC}"/>
              </a:ext>
            </a:extLst>
          </xdr:cNvPr>
          <xdr:cNvSpPr/>
        </xdr:nvSpPr>
        <xdr:spPr>
          <a:xfrm>
            <a:off x="1414145" y="319024"/>
            <a:ext cx="594995" cy="499110"/>
          </a:xfrm>
          <a:custGeom>
            <a:avLst/>
            <a:gdLst/>
            <a:ahLst/>
            <a:cxnLst/>
            <a:rect l="0" t="0" r="0" b="0"/>
            <a:pathLst>
              <a:path w="594995" h="499110">
                <a:moveTo>
                  <a:pt x="0" y="249555"/>
                </a:moveTo>
                <a:cubicBezTo>
                  <a:pt x="0" y="111760"/>
                  <a:pt x="133223" y="0"/>
                  <a:pt x="297561" y="0"/>
                </a:cubicBezTo>
                <a:cubicBezTo>
                  <a:pt x="461772" y="0"/>
                  <a:pt x="594995" y="111760"/>
                  <a:pt x="594995" y="249555"/>
                </a:cubicBezTo>
                <a:cubicBezTo>
                  <a:pt x="594995" y="387350"/>
                  <a:pt x="461772" y="499110"/>
                  <a:pt x="297561" y="499110"/>
                </a:cubicBezTo>
                <a:cubicBezTo>
                  <a:pt x="133223" y="499110"/>
                  <a:pt x="0" y="387350"/>
                  <a:pt x="0" y="249555"/>
                </a:cubicBezTo>
                <a:close/>
              </a:path>
            </a:pathLst>
          </a:custGeom>
          <a:ln w="25400" cap="flat">
            <a:round/>
          </a:ln>
        </xdr:spPr>
        <xdr:style>
          <a:lnRef idx="1">
            <a:srgbClr val="FF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22" name="Shape 188">
            <a:extLst>
              <a:ext uri="{FF2B5EF4-FFF2-40B4-BE49-F238E27FC236}">
                <a16:creationId xmlns:a16="http://schemas.microsoft.com/office/drawing/2014/main" id="{4EC3EF40-C269-0C75-3D68-CAC401C14013}"/>
              </a:ext>
            </a:extLst>
          </xdr:cNvPr>
          <xdr:cNvSpPr/>
        </xdr:nvSpPr>
        <xdr:spPr>
          <a:xfrm>
            <a:off x="1816735" y="353314"/>
            <a:ext cx="1904619" cy="264541"/>
          </a:xfrm>
          <a:custGeom>
            <a:avLst/>
            <a:gdLst/>
            <a:ahLst/>
            <a:cxnLst/>
            <a:rect l="0" t="0" r="0" b="0"/>
            <a:pathLst>
              <a:path w="1904619" h="264541">
                <a:moveTo>
                  <a:pt x="1901571" y="0"/>
                </a:moveTo>
                <a:lnTo>
                  <a:pt x="1904619" y="25273"/>
                </a:lnTo>
                <a:lnTo>
                  <a:pt x="77174" y="239310"/>
                </a:lnTo>
                <a:lnTo>
                  <a:pt x="80137" y="264541"/>
                </a:lnTo>
                <a:lnTo>
                  <a:pt x="0" y="235585"/>
                </a:lnTo>
                <a:lnTo>
                  <a:pt x="71247" y="188849"/>
                </a:lnTo>
                <a:lnTo>
                  <a:pt x="74206" y="214042"/>
                </a:lnTo>
                <a:lnTo>
                  <a:pt x="1901571" y="0"/>
                </a:lnTo>
                <a:close/>
              </a:path>
            </a:pathLst>
          </a:custGeom>
          <a:ln w="0" cap="flat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FF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4198620</xdr:colOff>
      <xdr:row>2</xdr:row>
      <xdr:rowOff>83820</xdr:rowOff>
    </xdr:from>
    <xdr:to>
      <xdr:col>0</xdr:col>
      <xdr:colOff>5437504</xdr:colOff>
      <xdr:row>5</xdr:row>
      <xdr:rowOff>88265</xdr:rowOff>
    </xdr:to>
    <xdr:pic>
      <xdr:nvPicPr>
        <xdr:cNvPr id="23" name="Picture 22" descr="A close up of a sign&#10;&#10;Description automatically generated">
          <a:extLst>
            <a:ext uri="{FF2B5EF4-FFF2-40B4-BE49-F238E27FC236}">
              <a16:creationId xmlns:a16="http://schemas.microsoft.com/office/drawing/2014/main" id="{452CA961-8BFE-43AF-8D21-4CF67667B22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8620" y="449580"/>
          <a:ext cx="1238884" cy="553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998220</xdr:colOff>
      <xdr:row>0</xdr:row>
      <xdr:rowOff>45720</xdr:rowOff>
    </xdr:from>
    <xdr:to>
      <xdr:col>0</xdr:col>
      <xdr:colOff>1280160</xdr:colOff>
      <xdr:row>1</xdr:row>
      <xdr:rowOff>167639</xdr:rowOff>
    </xdr:to>
    <xdr:pic>
      <xdr:nvPicPr>
        <xdr:cNvPr id="24" name="Picture 23" descr="A screenshot of a computer&#10;&#10;Description automatically generated">
          <a:extLst>
            <a:ext uri="{FF2B5EF4-FFF2-40B4-BE49-F238E27FC236}">
              <a16:creationId xmlns:a16="http://schemas.microsoft.com/office/drawing/2014/main" id="{0B7B6115-6D09-4ECD-9C8D-C9EAE0E72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1" t="47159" r="79170" b="34154"/>
        <a:stretch/>
      </xdr:blipFill>
      <xdr:spPr>
        <a:xfrm>
          <a:off x="998220" y="45720"/>
          <a:ext cx="281940" cy="304799"/>
        </a:xfrm>
        <a:prstGeom prst="rect">
          <a:avLst/>
        </a:prstGeom>
      </xdr:spPr>
    </xdr:pic>
    <xdr:clientData/>
  </xdr:twoCellAnchor>
  <xdr:twoCellAnchor editAs="oneCell">
    <xdr:from>
      <xdr:col>0</xdr:col>
      <xdr:colOff>1325880</xdr:colOff>
      <xdr:row>0</xdr:row>
      <xdr:rowOff>106681</xdr:rowOff>
    </xdr:from>
    <xdr:to>
      <xdr:col>0</xdr:col>
      <xdr:colOff>2057400</xdr:colOff>
      <xdr:row>2</xdr:row>
      <xdr:rowOff>129540</xdr:rowOff>
    </xdr:to>
    <xdr:pic>
      <xdr:nvPicPr>
        <xdr:cNvPr id="25" name="Picture 24" descr="A screenshot of a computer&#10;&#10;Description automatically generated">
          <a:extLst>
            <a:ext uri="{FF2B5EF4-FFF2-40B4-BE49-F238E27FC236}">
              <a16:creationId xmlns:a16="http://schemas.microsoft.com/office/drawing/2014/main" id="{1D6ED4EF-10B6-4CF8-AE94-6960D3085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756" t="71919" r="39196" b="4255"/>
        <a:stretch/>
      </xdr:blipFill>
      <xdr:spPr>
        <a:xfrm>
          <a:off x="1325880" y="106681"/>
          <a:ext cx="731520" cy="388619"/>
        </a:xfrm>
        <a:prstGeom prst="rect">
          <a:avLst/>
        </a:prstGeom>
      </xdr:spPr>
    </xdr:pic>
    <xdr:clientData/>
  </xdr:twoCellAnchor>
  <xdr:twoCellAnchor>
    <xdr:from>
      <xdr:col>0</xdr:col>
      <xdr:colOff>617220</xdr:colOff>
      <xdr:row>1</xdr:row>
      <xdr:rowOff>15240</xdr:rowOff>
    </xdr:from>
    <xdr:to>
      <xdr:col>0</xdr:col>
      <xdr:colOff>998220</xdr:colOff>
      <xdr:row>2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40AE0B1-B613-6BEF-3A9B-99C87B9B4A4C}"/>
            </a:ext>
          </a:extLst>
        </xdr:cNvPr>
        <xdr:cNvCxnSpPr>
          <a:endCxn id="24" idx="1"/>
        </xdr:cNvCxnSpPr>
      </xdr:nvCxnSpPr>
      <xdr:spPr>
        <a:xfrm flipV="1">
          <a:off x="617220" y="198120"/>
          <a:ext cx="381000" cy="175260"/>
        </a:xfrm>
        <a:prstGeom prst="straightConnector1">
          <a:avLst/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868680</xdr:colOff>
      <xdr:row>2</xdr:row>
      <xdr:rowOff>15240</xdr:rowOff>
    </xdr:from>
    <xdr:to>
      <xdr:col>0</xdr:col>
      <xdr:colOff>1493520</xdr:colOff>
      <xdr:row>3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07FC552-25D2-4647-9AE1-8CA5CFC4FEF7}"/>
            </a:ext>
          </a:extLst>
        </xdr:cNvPr>
        <xdr:cNvCxnSpPr/>
      </xdr:nvCxnSpPr>
      <xdr:spPr>
        <a:xfrm flipV="1">
          <a:off x="868680" y="381000"/>
          <a:ext cx="624840" cy="281940"/>
        </a:xfrm>
        <a:prstGeom prst="straightConnector1">
          <a:avLst/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769620</xdr:colOff>
      <xdr:row>3</xdr:row>
      <xdr:rowOff>45720</xdr:rowOff>
    </xdr:from>
    <xdr:to>
      <xdr:col>0</xdr:col>
      <xdr:colOff>2720340</xdr:colOff>
      <xdr:row>4</xdr:row>
      <xdr:rowOff>91440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685B646-CF03-49CB-95E5-1059F27181A6}"/>
            </a:ext>
          </a:extLst>
        </xdr:cNvPr>
        <xdr:cNvCxnSpPr/>
      </xdr:nvCxnSpPr>
      <xdr:spPr>
        <a:xfrm flipV="1">
          <a:off x="769620" y="594360"/>
          <a:ext cx="1950720" cy="228600"/>
        </a:xfrm>
        <a:prstGeom prst="straightConnector1">
          <a:avLst/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1950720</xdr:colOff>
      <xdr:row>4</xdr:row>
      <xdr:rowOff>137160</xdr:rowOff>
    </xdr:from>
    <xdr:to>
      <xdr:col>0</xdr:col>
      <xdr:colOff>4930140</xdr:colOff>
      <xdr:row>5</xdr:row>
      <xdr:rowOff>106680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5230CCE-7B01-4705-A295-2E9459B3284E}"/>
            </a:ext>
          </a:extLst>
        </xdr:cNvPr>
        <xdr:cNvCxnSpPr/>
      </xdr:nvCxnSpPr>
      <xdr:spPr>
        <a:xfrm flipV="1">
          <a:off x="1950720" y="868680"/>
          <a:ext cx="2979420" cy="152400"/>
        </a:xfrm>
        <a:prstGeom prst="straightConnector1">
          <a:avLst/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24619</xdr:colOff>
      <xdr:row>81</xdr:row>
      <xdr:rowOff>128367</xdr:rowOff>
    </xdr:from>
    <xdr:to>
      <xdr:col>0</xdr:col>
      <xdr:colOff>7816445</xdr:colOff>
      <xdr:row>113</xdr:row>
      <xdr:rowOff>128367</xdr:rowOff>
    </xdr:to>
    <xdr:pic>
      <xdr:nvPicPr>
        <xdr:cNvPr id="3" name="Picture 2" descr="A diagram of a function&#10;&#10;Description automatically generated with medium confidence">
          <a:extLst>
            <a:ext uri="{FF2B5EF4-FFF2-40B4-BE49-F238E27FC236}">
              <a16:creationId xmlns:a16="http://schemas.microsoft.com/office/drawing/2014/main" id="{431B8B82-949B-BA8A-B128-0B1D85AD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9" y="18387059"/>
          <a:ext cx="7791826" cy="5814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38</xdr:row>
      <xdr:rowOff>3175</xdr:rowOff>
    </xdr:from>
    <xdr:to>
      <xdr:col>14</xdr:col>
      <xdr:colOff>34925</xdr:colOff>
      <xdr:row>38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6ED9F8-8A77-BEB4-673E-388D4087B699}"/>
            </a:ext>
          </a:extLst>
        </xdr:cNvPr>
        <xdr:cNvCxnSpPr/>
      </xdr:nvCxnSpPr>
      <xdr:spPr>
        <a:xfrm flipH="1">
          <a:off x="69850" y="3870325"/>
          <a:ext cx="6969125" cy="22225"/>
        </a:xfrm>
        <a:prstGeom prst="straightConnector1">
          <a:avLst/>
        </a:prstGeom>
        <a:ln w="317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193676</xdr:colOff>
      <xdr:row>21</xdr:row>
      <xdr:rowOff>85725</xdr:rowOff>
    </xdr:from>
    <xdr:to>
      <xdr:col>8</xdr:col>
      <xdr:colOff>3176</xdr:colOff>
      <xdr:row>41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CA8FC58-8E9C-BA9F-899D-08FDB5C65B55}"/>
            </a:ext>
          </a:extLst>
        </xdr:cNvPr>
        <xdr:cNvSpPr/>
      </xdr:nvSpPr>
      <xdr:spPr>
        <a:xfrm>
          <a:off x="2419351" y="3765550"/>
          <a:ext cx="1123950" cy="8064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kern="1200">
              <a:solidFill>
                <a:schemeClr val="tx1"/>
              </a:solidFill>
            </a:rPr>
            <a:t>Rows 23 to 38 are hidden</a:t>
          </a:r>
          <a:r>
            <a:rPr lang="en-US" sz="1100" kern="1200" baseline="0">
              <a:solidFill>
                <a:schemeClr val="tx1"/>
              </a:solidFill>
            </a:rPr>
            <a:t> so image fits on one page</a:t>
          </a:r>
          <a:endParaRPr 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23034</xdr:colOff>
      <xdr:row>14</xdr:row>
      <xdr:rowOff>172579</xdr:rowOff>
    </xdr:from>
    <xdr:to>
      <xdr:col>12</xdr:col>
      <xdr:colOff>173803</xdr:colOff>
      <xdr:row>35</xdr:row>
      <xdr:rowOff>46103</xdr:rowOff>
    </xdr:to>
    <xdr:pic>
      <xdr:nvPicPr>
        <xdr:cNvPr id="9" name="Picture 8" descr="A screenshot of a computer&#10;&#10;Description automatically generated">
          <a:extLst>
            <a:ext uri="{FF2B5EF4-FFF2-40B4-BE49-F238E27FC236}">
              <a16:creationId xmlns:a16="http://schemas.microsoft.com/office/drawing/2014/main" id="{3D6D6CCB-BE97-0ED1-2751-C56D48A7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09" y="2839579"/>
          <a:ext cx="7494544" cy="38740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116541</xdr:colOff>
      <xdr:row>21</xdr:row>
      <xdr:rowOff>143435</xdr:rowOff>
    </xdr:from>
    <xdr:to>
      <xdr:col>14</xdr:col>
      <xdr:colOff>771861</xdr:colOff>
      <xdr:row>31</xdr:row>
      <xdr:rowOff>151055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F0B201-53C1-AEAA-3B65-50E55CF5A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9953" y="3908611"/>
          <a:ext cx="1498002" cy="180056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5569.879042476852" createdVersion="8" refreshedVersion="8" minRefreshableVersion="3" recordCount="6" xr:uid="{D9AA720A-5A5C-4F46-9A30-77F68316E24B}">
  <cacheSource type="worksheet">
    <worksheetSource ref="S11:T17" sheet="WIE"/>
  </cacheSource>
  <cacheFields count="2">
    <cacheField name="Product" numFmtId="0">
      <sharedItems count="2">
        <s v="Quad"/>
        <s v="Carlota"/>
      </sharedItems>
    </cacheField>
    <cacheField name="Sales" numFmtId="0">
      <sharedItems containsSemiMixedTypes="0" containsString="0" containsNumber="1" containsInteger="1" minValue="9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3"/>
  </r>
  <r>
    <x v="1"/>
    <n v="67"/>
  </r>
  <r>
    <x v="1"/>
    <n v="46"/>
  </r>
  <r>
    <x v="0"/>
    <n v="9"/>
  </r>
  <r>
    <x v="0"/>
    <n v="43"/>
  </r>
  <r>
    <x v="1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8C14E-9B04-4E29-BE0C-CEBC693805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11:W14" firstHeaderRow="1" firstDataRow="1" firstDataCol="1"/>
  <pivotFields count="2">
    <pivotField axis="axisRow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C640-7202-4BE6-9AEA-0C6CD03D195F}">
  <sheetPr codeName="Sheet7">
    <tabColor rgb="FFFFFF00"/>
  </sheetPr>
  <dimension ref="A1:P38"/>
  <sheetViews>
    <sheetView showGridLines="0" zoomScaleNormal="100" workbookViewId="0">
      <selection activeCell="K20" sqref="K20"/>
    </sheetView>
  </sheetViews>
  <sheetFormatPr defaultRowHeight="15" x14ac:dyDescent="0.25"/>
  <cols>
    <col min="1" max="1" width="2.85546875" customWidth="1"/>
    <col min="2" max="2" width="29" bestFit="1" customWidth="1"/>
    <col min="3" max="10" width="10.5703125" customWidth="1"/>
    <col min="11" max="11" width="13" customWidth="1"/>
    <col min="12" max="13" width="10.7109375" customWidth="1"/>
    <col min="16" max="16" width="14" customWidth="1"/>
  </cols>
  <sheetData>
    <row r="1" spans="1:16" ht="28.5" x14ac:dyDescent="0.25">
      <c r="A1" s="31" t="s">
        <v>104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3" spans="1:16" ht="45" x14ac:dyDescent="0.25">
      <c r="K3" s="29" t="s">
        <v>84</v>
      </c>
      <c r="L3" s="28" t="s">
        <v>76</v>
      </c>
      <c r="O3" s="8" t="s">
        <v>64</v>
      </c>
      <c r="P3" s="8" t="s">
        <v>79</v>
      </c>
    </row>
    <row r="4" spans="1:16" x14ac:dyDescent="0.25">
      <c r="B4" s="28" t="s">
        <v>65</v>
      </c>
      <c r="C4" s="13">
        <v>100</v>
      </c>
      <c r="D4" s="6">
        <v>100</v>
      </c>
      <c r="E4" s="6">
        <v>100</v>
      </c>
      <c r="F4" s="6">
        <v>100</v>
      </c>
      <c r="G4" s="6">
        <v>30</v>
      </c>
      <c r="H4" s="6">
        <v>30</v>
      </c>
      <c r="I4" s="6">
        <v>30</v>
      </c>
      <c r="J4" s="6">
        <v>30</v>
      </c>
      <c r="K4" s="16">
        <f>SUM(C4:J4)</f>
        <v>520</v>
      </c>
      <c r="O4" s="15">
        <v>0</v>
      </c>
      <c r="P4" s="15">
        <v>0</v>
      </c>
    </row>
    <row r="5" spans="1:16" x14ac:dyDescent="0.25">
      <c r="L5" s="8" t="s">
        <v>64</v>
      </c>
      <c r="O5" s="6">
        <v>0.61</v>
      </c>
      <c r="P5" s="6">
        <v>0.7</v>
      </c>
    </row>
    <row r="6" spans="1:16" ht="30" x14ac:dyDescent="0.25">
      <c r="B6" s="8" t="s">
        <v>34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48</v>
      </c>
      <c r="H6" s="8" t="s">
        <v>49</v>
      </c>
      <c r="I6" s="8" t="s">
        <v>50</v>
      </c>
      <c r="J6" s="8" t="s">
        <v>51</v>
      </c>
      <c r="K6" s="8" t="s">
        <v>63</v>
      </c>
      <c r="L6" s="22">
        <f t="shared" ref="L6:L11" si="0">K7/$K$4</f>
        <v>0.8</v>
      </c>
      <c r="M6" s="17" t="s">
        <v>79</v>
      </c>
      <c r="O6" s="6">
        <v>0.62</v>
      </c>
      <c r="P6" s="6">
        <v>0.8</v>
      </c>
    </row>
    <row r="7" spans="1:16" x14ac:dyDescent="0.25">
      <c r="B7" s="15" t="s">
        <v>35</v>
      </c>
      <c r="C7" s="15">
        <v>80</v>
      </c>
      <c r="D7" s="15">
        <v>87</v>
      </c>
      <c r="E7" s="15">
        <v>62</v>
      </c>
      <c r="F7" s="15">
        <v>80</v>
      </c>
      <c r="G7" s="15">
        <v>25</v>
      </c>
      <c r="H7" s="15">
        <v>28</v>
      </c>
      <c r="I7" s="15">
        <v>21</v>
      </c>
      <c r="J7" s="15">
        <v>23</v>
      </c>
      <c r="K7" s="16">
        <f>SUM(C7:J7)+10</f>
        <v>416</v>
      </c>
      <c r="L7" s="23">
        <f t="shared" si="0"/>
        <v>0.7615384615384615</v>
      </c>
      <c r="M7" s="24">
        <f t="shared" ref="M7:M12" si="1">_xlfn.XLOOKUP(L6,$O$4:$O$38,$P$4:$P$38,,-1)</f>
        <v>2.6</v>
      </c>
      <c r="O7" s="6">
        <v>0.63</v>
      </c>
      <c r="P7" s="6">
        <v>0.9</v>
      </c>
    </row>
    <row r="8" spans="1:16" x14ac:dyDescent="0.25">
      <c r="B8" s="6" t="s">
        <v>36</v>
      </c>
      <c r="C8" s="6">
        <v>75</v>
      </c>
      <c r="D8" s="6">
        <v>82</v>
      </c>
      <c r="E8" s="6">
        <v>55</v>
      </c>
      <c r="F8" s="6">
        <v>87</v>
      </c>
      <c r="G8" s="6">
        <v>24</v>
      </c>
      <c r="H8" s="6">
        <v>22</v>
      </c>
      <c r="I8" s="6">
        <v>22</v>
      </c>
      <c r="J8" s="6">
        <v>19</v>
      </c>
      <c r="K8" s="16">
        <f t="shared" ref="K8:K12" si="2">SUM(C8:J8)+10</f>
        <v>396</v>
      </c>
      <c r="L8" s="23">
        <f t="shared" si="0"/>
        <v>0.93461538461538463</v>
      </c>
      <c r="M8" s="24">
        <f t="shared" si="1"/>
        <v>2.2000000000000002</v>
      </c>
      <c r="O8" s="6">
        <v>0.64</v>
      </c>
      <c r="P8" s="6">
        <v>1</v>
      </c>
    </row>
    <row r="9" spans="1:16" x14ac:dyDescent="0.25">
      <c r="B9" s="6" t="s">
        <v>37</v>
      </c>
      <c r="C9" s="6">
        <v>95</v>
      </c>
      <c r="D9" s="6">
        <v>100</v>
      </c>
      <c r="E9" s="6">
        <v>82</v>
      </c>
      <c r="F9" s="6">
        <v>99</v>
      </c>
      <c r="G9" s="6">
        <v>25</v>
      </c>
      <c r="H9" s="6">
        <v>30</v>
      </c>
      <c r="I9" s="6">
        <v>23</v>
      </c>
      <c r="J9" s="6">
        <v>22</v>
      </c>
      <c r="K9" s="16">
        <f t="shared" si="2"/>
        <v>486</v>
      </c>
      <c r="L9" s="23">
        <f t="shared" si="0"/>
        <v>0.93076923076923079</v>
      </c>
      <c r="M9" s="24">
        <f t="shared" si="1"/>
        <v>3.9</v>
      </c>
      <c r="O9" s="6">
        <v>0.65</v>
      </c>
      <c r="P9" s="6">
        <v>1.1000000000000001</v>
      </c>
    </row>
    <row r="10" spans="1:16" x14ac:dyDescent="0.25">
      <c r="B10" s="6" t="s">
        <v>38</v>
      </c>
      <c r="C10" s="6">
        <v>94</v>
      </c>
      <c r="D10" s="6">
        <v>99</v>
      </c>
      <c r="E10" s="6">
        <v>81</v>
      </c>
      <c r="F10" s="6">
        <v>98</v>
      </c>
      <c r="G10" s="6">
        <v>23</v>
      </c>
      <c r="H10" s="6">
        <v>30</v>
      </c>
      <c r="I10" s="6">
        <v>21</v>
      </c>
      <c r="J10" s="6">
        <v>28</v>
      </c>
      <c r="K10" s="16">
        <f t="shared" si="2"/>
        <v>484</v>
      </c>
      <c r="L10" s="23">
        <f t="shared" si="0"/>
        <v>0.92884615384615388</v>
      </c>
      <c r="M10" s="24">
        <f t="shared" si="1"/>
        <v>3.9</v>
      </c>
      <c r="O10" s="6">
        <v>0.66</v>
      </c>
      <c r="P10" s="6">
        <v>1.2</v>
      </c>
    </row>
    <row r="11" spans="1:16" x14ac:dyDescent="0.25">
      <c r="B11" s="6" t="s">
        <v>39</v>
      </c>
      <c r="C11" s="6">
        <v>92</v>
      </c>
      <c r="D11" s="6">
        <v>95</v>
      </c>
      <c r="E11" s="6">
        <v>87</v>
      </c>
      <c r="F11" s="6">
        <v>91</v>
      </c>
      <c r="G11" s="6">
        <v>25</v>
      </c>
      <c r="H11" s="6">
        <v>30</v>
      </c>
      <c r="I11" s="6">
        <v>25</v>
      </c>
      <c r="J11" s="6">
        <v>28</v>
      </c>
      <c r="K11" s="16">
        <f t="shared" si="2"/>
        <v>483</v>
      </c>
      <c r="L11" s="23">
        <f t="shared" si="0"/>
        <v>0.91730769230769227</v>
      </c>
      <c r="M11" s="24">
        <f t="shared" si="1"/>
        <v>3.8</v>
      </c>
      <c r="O11" s="6">
        <v>0.67</v>
      </c>
      <c r="P11" s="6">
        <v>1.3</v>
      </c>
    </row>
    <row r="12" spans="1:16" x14ac:dyDescent="0.25">
      <c r="B12" s="14" t="s">
        <v>40</v>
      </c>
      <c r="C12" s="6">
        <v>89</v>
      </c>
      <c r="D12" s="6">
        <v>89</v>
      </c>
      <c r="E12" s="6">
        <v>79</v>
      </c>
      <c r="F12" s="6">
        <v>100</v>
      </c>
      <c r="G12" s="6">
        <v>24</v>
      </c>
      <c r="H12" s="6">
        <v>30</v>
      </c>
      <c r="I12" s="6">
        <v>26</v>
      </c>
      <c r="J12" s="6">
        <v>30</v>
      </c>
      <c r="K12" s="16">
        <f t="shared" si="2"/>
        <v>477</v>
      </c>
      <c r="L12" s="26">
        <f t="shared" ref="D12:M13" si="3">AVERAGE(L6:L11)</f>
        <v>0.87884615384615383</v>
      </c>
      <c r="M12" s="24">
        <f t="shared" si="1"/>
        <v>3.7</v>
      </c>
      <c r="O12" s="6">
        <v>0.68</v>
      </c>
      <c r="P12" s="6">
        <v>1.4</v>
      </c>
    </row>
    <row r="13" spans="1:16" x14ac:dyDescent="0.25">
      <c r="B13" s="8" t="s">
        <v>70</v>
      </c>
      <c r="C13" s="32">
        <f>AVERAGE(C7:C12)</f>
        <v>87.5</v>
      </c>
      <c r="D13" s="33">
        <f t="shared" si="3"/>
        <v>92</v>
      </c>
      <c r="E13" s="33">
        <f t="shared" si="3"/>
        <v>74.333333333333329</v>
      </c>
      <c r="F13" s="33">
        <f t="shared" si="3"/>
        <v>92.5</v>
      </c>
      <c r="G13" s="33">
        <f t="shared" si="3"/>
        <v>24.333333333333332</v>
      </c>
      <c r="H13" s="33">
        <f t="shared" si="3"/>
        <v>28.333333333333332</v>
      </c>
      <c r="I13" s="25">
        <f t="shared" si="3"/>
        <v>23</v>
      </c>
      <c r="J13" s="25">
        <f t="shared" si="3"/>
        <v>25</v>
      </c>
      <c r="K13" s="25">
        <f t="shared" si="3"/>
        <v>457</v>
      </c>
      <c r="M13" s="27">
        <f t="shared" si="3"/>
        <v>3.35</v>
      </c>
      <c r="O13" s="6">
        <v>0.69</v>
      </c>
      <c r="P13" s="6">
        <v>1.5</v>
      </c>
    </row>
    <row r="14" spans="1:16" x14ac:dyDescent="0.25">
      <c r="O14" s="6">
        <v>0.7</v>
      </c>
      <c r="P14" s="6">
        <v>1.6</v>
      </c>
    </row>
    <row r="15" spans="1:16" x14ac:dyDescent="0.25">
      <c r="O15" s="6">
        <v>0.71</v>
      </c>
      <c r="P15" s="6">
        <v>1.7</v>
      </c>
    </row>
    <row r="16" spans="1:16" x14ac:dyDescent="0.25">
      <c r="O16" s="6">
        <v>0.72</v>
      </c>
      <c r="P16" s="6">
        <v>1.8</v>
      </c>
    </row>
    <row r="17" spans="15:16" x14ac:dyDescent="0.25">
      <c r="O17" s="6">
        <v>0.73</v>
      </c>
      <c r="P17" s="6">
        <v>1.9</v>
      </c>
    </row>
    <row r="18" spans="15:16" x14ac:dyDescent="0.25">
      <c r="O18" s="6">
        <v>0.74</v>
      </c>
      <c r="P18" s="6">
        <v>2</v>
      </c>
    </row>
    <row r="19" spans="15:16" x14ac:dyDescent="0.25">
      <c r="O19" s="6">
        <v>0.75</v>
      </c>
      <c r="P19" s="6">
        <v>2.1</v>
      </c>
    </row>
    <row r="20" spans="15:16" x14ac:dyDescent="0.25">
      <c r="O20" s="6">
        <v>0.76</v>
      </c>
      <c r="P20" s="6">
        <v>2.2000000000000002</v>
      </c>
    </row>
    <row r="21" spans="15:16" x14ac:dyDescent="0.25">
      <c r="O21" s="6">
        <v>0.77</v>
      </c>
      <c r="P21" s="6">
        <v>2.2999999999999998</v>
      </c>
    </row>
    <row r="22" spans="15:16" hidden="1" x14ac:dyDescent="0.25">
      <c r="O22" s="6">
        <v>0.78</v>
      </c>
      <c r="P22" s="6">
        <v>2.4</v>
      </c>
    </row>
    <row r="23" spans="15:16" hidden="1" x14ac:dyDescent="0.25">
      <c r="O23" s="6">
        <v>0.79</v>
      </c>
      <c r="P23" s="6">
        <v>2.5</v>
      </c>
    </row>
    <row r="24" spans="15:16" hidden="1" x14ac:dyDescent="0.25">
      <c r="O24" s="6">
        <v>0.8</v>
      </c>
      <c r="P24" s="6">
        <v>2.6</v>
      </c>
    </row>
    <row r="25" spans="15:16" hidden="1" x14ac:dyDescent="0.25">
      <c r="O25" s="6">
        <v>0.81</v>
      </c>
      <c r="P25" s="6">
        <v>2.7</v>
      </c>
    </row>
    <row r="26" spans="15:16" hidden="1" x14ac:dyDescent="0.25">
      <c r="O26" s="6">
        <v>0.82</v>
      </c>
      <c r="P26" s="6">
        <v>2.8</v>
      </c>
    </row>
    <row r="27" spans="15:16" hidden="1" x14ac:dyDescent="0.25">
      <c r="O27" s="6">
        <v>0.83</v>
      </c>
      <c r="P27" s="6">
        <v>2.9</v>
      </c>
    </row>
    <row r="28" spans="15:16" hidden="1" x14ac:dyDescent="0.25">
      <c r="O28" s="6">
        <v>0.84</v>
      </c>
      <c r="P28" s="6">
        <v>3</v>
      </c>
    </row>
    <row r="29" spans="15:16" hidden="1" x14ac:dyDescent="0.25">
      <c r="O29" s="6">
        <v>0.85</v>
      </c>
      <c r="P29" s="6">
        <v>3.1</v>
      </c>
    </row>
    <row r="30" spans="15:16" hidden="1" x14ac:dyDescent="0.25">
      <c r="O30" s="6">
        <v>0.86</v>
      </c>
      <c r="P30" s="6">
        <v>3.2</v>
      </c>
    </row>
    <row r="31" spans="15:16" hidden="1" x14ac:dyDescent="0.25">
      <c r="O31" s="6">
        <v>0.87</v>
      </c>
      <c r="P31" s="6">
        <v>3.3</v>
      </c>
    </row>
    <row r="32" spans="15:16" hidden="1" x14ac:dyDescent="0.25">
      <c r="O32" s="6">
        <v>0.88</v>
      </c>
      <c r="P32" s="6">
        <v>3.4</v>
      </c>
    </row>
    <row r="33" spans="15:16" hidden="1" x14ac:dyDescent="0.25">
      <c r="O33" s="6">
        <v>0.89</v>
      </c>
      <c r="P33" s="6">
        <v>3.5</v>
      </c>
    </row>
    <row r="34" spans="15:16" hidden="1" x14ac:dyDescent="0.25">
      <c r="O34" s="6">
        <v>0.9</v>
      </c>
      <c r="P34" s="6">
        <v>3.6</v>
      </c>
    </row>
    <row r="35" spans="15:16" hidden="1" x14ac:dyDescent="0.25">
      <c r="O35" s="6">
        <v>0.91</v>
      </c>
      <c r="P35" s="6">
        <v>3.7</v>
      </c>
    </row>
    <row r="36" spans="15:16" x14ac:dyDescent="0.25">
      <c r="O36" s="6">
        <v>0.92</v>
      </c>
      <c r="P36" s="6">
        <v>3.8</v>
      </c>
    </row>
    <row r="37" spans="15:16" x14ac:dyDescent="0.25">
      <c r="O37" s="6">
        <v>0.93</v>
      </c>
      <c r="P37" s="6">
        <v>3.9</v>
      </c>
    </row>
    <row r="38" spans="15:16" x14ac:dyDescent="0.25">
      <c r="O38" s="6">
        <v>0.94</v>
      </c>
      <c r="P38" s="6">
        <v>4</v>
      </c>
    </row>
  </sheetData>
  <printOptions horizontalCentered="1"/>
  <pageMargins left="0.4" right="0.4" top="0.4" bottom="0.6" header="0.3" footer="0.3"/>
  <pageSetup orientation="landscape" r:id="rId1"/>
  <headerFooter>
    <oddFooter>&amp;L&amp;D - &amp;T&amp;CPage &amp;P of &amp;N&amp;R&amp;A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N38"/>
  <sheetViews>
    <sheetView showGridLines="0" zoomScale="145" zoomScaleNormal="145" workbookViewId="0"/>
  </sheetViews>
  <sheetFormatPr defaultRowHeight="15" x14ac:dyDescent="0.25"/>
  <cols>
    <col min="1" max="1" width="2.7109375" customWidth="1"/>
  </cols>
  <sheetData>
    <row r="1" spans="1:14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5">
      <c r="A2" s="34"/>
      <c r="B2" s="35" t="s">
        <v>104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25">
      <c r="A3" s="34"/>
      <c r="B3" s="34" cm="1">
        <f t="array" ref="B3:B12">_xlfn.SEQUENCE(ROWS(C3:C12))</f>
        <v>1</v>
      </c>
      <c r="C3" s="36" t="s"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x14ac:dyDescent="0.25">
      <c r="A4" s="34"/>
      <c r="B4" s="34">
        <v>2</v>
      </c>
      <c r="C4" s="36" t="s"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x14ac:dyDescent="0.25">
      <c r="A5" s="34"/>
      <c r="B5" s="34">
        <v>3</v>
      </c>
      <c r="C5" s="36" t="s"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x14ac:dyDescent="0.25">
      <c r="A6" s="34"/>
      <c r="B6" s="34">
        <v>4</v>
      </c>
      <c r="C6" s="36" t="s">
        <v>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x14ac:dyDescent="0.25">
      <c r="A7" s="34"/>
      <c r="B7" s="34">
        <v>5</v>
      </c>
      <c r="C7" s="36" t="s">
        <v>105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 x14ac:dyDescent="0.25">
      <c r="A8" s="34"/>
      <c r="B8" s="34">
        <v>6</v>
      </c>
      <c r="C8" s="36" t="s">
        <v>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4" x14ac:dyDescent="0.25">
      <c r="A9" s="34"/>
      <c r="B9" s="34">
        <v>7</v>
      </c>
      <c r="C9" s="36" t="s">
        <v>106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4" x14ac:dyDescent="0.25">
      <c r="A10" s="34"/>
      <c r="B10" s="34">
        <v>8</v>
      </c>
      <c r="C10" s="36" t="s">
        <v>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x14ac:dyDescent="0.25">
      <c r="A11" s="34"/>
      <c r="B11" s="34">
        <v>9</v>
      </c>
      <c r="C11" s="36" t="s">
        <v>6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 x14ac:dyDescent="0.25">
      <c r="A12" s="34"/>
      <c r="B12" s="34">
        <v>10</v>
      </c>
      <c r="C12" s="36" t="s">
        <v>103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4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4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1:14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</sheetData>
  <pageMargins left="0.7" right="0.7" top="0.75" bottom="0.75" header="0.3" footer="0.3"/>
  <pageSetup orientation="portrait" r:id="rId1"/>
  <headerFooter>
    <oddFooter>&amp;L&amp;D&amp;CPage &amp;P of 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52B-574E-4EA8-B9DD-082ACF556185}">
  <sheetPr codeName="Sheet2">
    <tabColor rgb="FFFFFF00"/>
    <pageSetUpPr fitToPage="1"/>
  </sheetPr>
  <dimension ref="A1:W41"/>
  <sheetViews>
    <sheetView zoomScale="85" zoomScaleNormal="85" workbookViewId="0">
      <selection activeCell="O36" sqref="O36"/>
    </sheetView>
  </sheetViews>
  <sheetFormatPr defaultRowHeight="15" x14ac:dyDescent="0.25"/>
  <cols>
    <col min="8" max="8" width="5.5703125" customWidth="1"/>
    <col min="9" max="9" width="1.28515625" customWidth="1"/>
    <col min="11" max="11" width="10.5703125" customWidth="1"/>
    <col min="12" max="12" width="15.140625" customWidth="1"/>
    <col min="13" max="13" width="11.42578125" customWidth="1"/>
    <col min="15" max="15" width="8.7109375" customWidth="1"/>
    <col min="16" max="16" width="8.85546875" customWidth="1"/>
    <col min="17" max="17" width="14.28515625" customWidth="1"/>
    <col min="18" max="18" width="2.28515625" customWidth="1"/>
    <col min="21" max="21" width="7.85546875" customWidth="1"/>
    <col min="22" max="22" width="10.7109375" bestFit="1" customWidth="1"/>
    <col min="23" max="23" width="11.28515625" bestFit="1" customWidth="1"/>
  </cols>
  <sheetData>
    <row r="1" spans="1:23" x14ac:dyDescent="0.25">
      <c r="D1" s="1"/>
      <c r="J1" s="5" t="s">
        <v>0</v>
      </c>
      <c r="S1" t="s">
        <v>108</v>
      </c>
    </row>
    <row r="2" spans="1:23" x14ac:dyDescent="0.25">
      <c r="D2" s="1"/>
      <c r="H2">
        <v>1</v>
      </c>
      <c r="J2" t="s">
        <v>7</v>
      </c>
      <c r="S2" s="37" t="s">
        <v>110</v>
      </c>
    </row>
    <row r="3" spans="1:23" x14ac:dyDescent="0.25">
      <c r="D3" s="1"/>
      <c r="H3">
        <v>2</v>
      </c>
      <c r="J3" t="s">
        <v>8</v>
      </c>
      <c r="S3" s="37" t="s">
        <v>111</v>
      </c>
    </row>
    <row r="4" spans="1:23" x14ac:dyDescent="0.25">
      <c r="D4" s="1"/>
      <c r="H4">
        <v>3</v>
      </c>
      <c r="J4" t="s">
        <v>9</v>
      </c>
      <c r="S4" t="s">
        <v>109</v>
      </c>
    </row>
    <row r="5" spans="1:23" x14ac:dyDescent="0.25">
      <c r="D5" s="1"/>
      <c r="H5">
        <v>4</v>
      </c>
      <c r="J5" t="s">
        <v>10</v>
      </c>
    </row>
    <row r="6" spans="1:23" x14ac:dyDescent="0.25">
      <c r="D6" s="1"/>
      <c r="H6">
        <v>5</v>
      </c>
      <c r="J6" t="s">
        <v>11</v>
      </c>
    </row>
    <row r="7" spans="1:23" x14ac:dyDescent="0.25">
      <c r="D7" s="1"/>
      <c r="H7">
        <v>6</v>
      </c>
      <c r="J7" t="s">
        <v>107</v>
      </c>
    </row>
    <row r="8" spans="1:23" x14ac:dyDescent="0.25">
      <c r="A8" s="2"/>
      <c r="B8" s="2"/>
      <c r="C8" s="2"/>
      <c r="D8" s="3"/>
      <c r="E8" s="2"/>
      <c r="F8" s="2"/>
      <c r="G8" s="2"/>
      <c r="H8">
        <v>7</v>
      </c>
      <c r="J8" t="s">
        <v>12</v>
      </c>
    </row>
    <row r="9" spans="1:23" x14ac:dyDescent="0.25">
      <c r="D9" s="1"/>
      <c r="H9">
        <v>8</v>
      </c>
      <c r="J9" t="s">
        <v>112</v>
      </c>
    </row>
    <row r="10" spans="1:23" x14ac:dyDescent="0.25">
      <c r="D10" s="1"/>
    </row>
    <row r="11" spans="1:23" x14ac:dyDescent="0.25">
      <c r="D11" s="1"/>
      <c r="H11" t="s">
        <v>17</v>
      </c>
      <c r="J11" s="8" t="s">
        <v>14</v>
      </c>
      <c r="Q11" t="s">
        <v>18</v>
      </c>
      <c r="S11" s="8" t="s">
        <v>19</v>
      </c>
      <c r="T11" s="8" t="s">
        <v>14</v>
      </c>
      <c r="V11" s="12" t="s">
        <v>19</v>
      </c>
      <c r="W11" t="s">
        <v>33</v>
      </c>
    </row>
    <row r="12" spans="1:23" x14ac:dyDescent="0.25">
      <c r="D12" s="1"/>
      <c r="J12" s="6">
        <v>3</v>
      </c>
      <c r="S12" s="6" t="s">
        <v>20</v>
      </c>
      <c r="T12" s="6">
        <v>23</v>
      </c>
      <c r="V12" t="s">
        <v>21</v>
      </c>
      <c r="W12">
        <v>137</v>
      </c>
    </row>
    <row r="13" spans="1:23" x14ac:dyDescent="0.25">
      <c r="D13" s="1"/>
      <c r="J13" s="6">
        <v>4</v>
      </c>
      <c r="S13" s="6" t="s">
        <v>21</v>
      </c>
      <c r="T13" s="6">
        <v>67</v>
      </c>
      <c r="V13" t="s">
        <v>20</v>
      </c>
      <c r="W13">
        <v>75</v>
      </c>
    </row>
    <row r="14" spans="1:23" x14ac:dyDescent="0.25">
      <c r="D14" s="1"/>
      <c r="J14" s="6">
        <v>5</v>
      </c>
      <c r="S14" s="6" t="s">
        <v>21</v>
      </c>
      <c r="T14" s="6">
        <v>46</v>
      </c>
      <c r="V14" t="s">
        <v>32</v>
      </c>
      <c r="W14">
        <v>212</v>
      </c>
    </row>
    <row r="15" spans="1:23" x14ac:dyDescent="0.25">
      <c r="D15" s="1"/>
      <c r="H15" s="4" t="s">
        <v>13</v>
      </c>
      <c r="I15" s="4"/>
      <c r="J15" s="7">
        <f>SUM(J12:J14)</f>
        <v>12</v>
      </c>
      <c r="L15" t="str">
        <f ca="1">_xlfn.FORMULATEXT(J15)</f>
        <v>=SUM(J12:J14)</v>
      </c>
      <c r="M15" t="s">
        <v>113</v>
      </c>
      <c r="S15" s="6" t="s">
        <v>20</v>
      </c>
      <c r="T15" s="6">
        <v>9</v>
      </c>
    </row>
    <row r="16" spans="1:23" x14ac:dyDescent="0.25">
      <c r="D16" s="1"/>
      <c r="S16" s="6" t="s">
        <v>20</v>
      </c>
      <c r="T16" s="6">
        <v>43</v>
      </c>
    </row>
    <row r="17" spans="4:22" x14ac:dyDescent="0.25">
      <c r="D17" s="1"/>
      <c r="J17" t="s">
        <v>22</v>
      </c>
      <c r="S17" s="6" t="s">
        <v>21</v>
      </c>
      <c r="T17" s="6">
        <v>24</v>
      </c>
    </row>
    <row r="19" spans="4:22" x14ac:dyDescent="0.25">
      <c r="H19">
        <v>9</v>
      </c>
      <c r="J19" t="s">
        <v>15</v>
      </c>
    </row>
    <row r="20" spans="4:22" x14ac:dyDescent="0.25">
      <c r="H20">
        <v>10</v>
      </c>
      <c r="J20" t="s">
        <v>16</v>
      </c>
    </row>
    <row r="21" spans="4:22" x14ac:dyDescent="0.25">
      <c r="H21">
        <v>11</v>
      </c>
      <c r="J21" t="s">
        <v>31</v>
      </c>
    </row>
    <row r="22" spans="4:22" x14ac:dyDescent="0.25">
      <c r="J22" s="11" t="s">
        <v>23</v>
      </c>
    </row>
    <row r="23" spans="4:22" x14ac:dyDescent="0.25">
      <c r="J23" s="11" t="s">
        <v>24</v>
      </c>
    </row>
    <row r="24" spans="4:22" x14ac:dyDescent="0.25">
      <c r="J24" s="11" t="s">
        <v>25</v>
      </c>
    </row>
    <row r="25" spans="4:22" x14ac:dyDescent="0.25">
      <c r="J25" s="11" t="s">
        <v>82</v>
      </c>
      <c r="V25" s="4" t="s">
        <v>114</v>
      </c>
    </row>
    <row r="26" spans="4:22" x14ac:dyDescent="0.25">
      <c r="V26" s="21" t="s">
        <v>116</v>
      </c>
    </row>
    <row r="27" spans="4:22" x14ac:dyDescent="0.25">
      <c r="J27" s="4" t="s">
        <v>28</v>
      </c>
      <c r="K27" t="s">
        <v>26</v>
      </c>
      <c r="L27" t="s">
        <v>27</v>
      </c>
      <c r="O27" t="s">
        <v>26</v>
      </c>
      <c r="V27" s="21" t="s">
        <v>117</v>
      </c>
    </row>
    <row r="28" spans="4:22" x14ac:dyDescent="0.25">
      <c r="J28" s="4" t="s">
        <v>29</v>
      </c>
      <c r="K28">
        <v>43</v>
      </c>
      <c r="L28" s="9">
        <v>0.33333333333333331</v>
      </c>
      <c r="M28" s="10">
        <v>45691</v>
      </c>
      <c r="O28">
        <v>43.12</v>
      </c>
      <c r="P28" s="9">
        <v>0.33333333333333331</v>
      </c>
      <c r="Q28" s="10">
        <v>45631</v>
      </c>
      <c r="U28" s="9"/>
      <c r="V28" s="38" t="s">
        <v>118</v>
      </c>
    </row>
    <row r="29" spans="4:22" x14ac:dyDescent="0.25">
      <c r="J29" s="4" t="s">
        <v>30</v>
      </c>
      <c r="K29" t="b">
        <v>1</v>
      </c>
      <c r="L29" t="b">
        <v>0</v>
      </c>
      <c r="O29" s="21"/>
      <c r="U29" s="4" t="s">
        <v>115</v>
      </c>
      <c r="V29">
        <f>SUM(V26:V28)</f>
        <v>0</v>
      </c>
    </row>
    <row r="30" spans="4:22" x14ac:dyDescent="0.25">
      <c r="J30" s="4" t="s">
        <v>83</v>
      </c>
      <c r="K30" t="e">
        <f>K28/0</f>
        <v>#DIV/0!</v>
      </c>
      <c r="V30" t="str">
        <f ca="1">_xlfn.FORMULATEXT(V29)</f>
        <v>=SUM(V26:V28)</v>
      </c>
    </row>
    <row r="32" spans="4:22" x14ac:dyDescent="0.25">
      <c r="H32" s="21">
        <v>12</v>
      </c>
      <c r="J32" t="s">
        <v>99</v>
      </c>
    </row>
    <row r="33" spans="8:17" x14ac:dyDescent="0.25">
      <c r="J33" t="s">
        <v>186</v>
      </c>
    </row>
    <row r="35" spans="8:17" x14ac:dyDescent="0.25">
      <c r="J35" s="8" t="s">
        <v>14</v>
      </c>
      <c r="M35" s="8" t="s">
        <v>14</v>
      </c>
      <c r="O35" s="8" t="s">
        <v>119</v>
      </c>
      <c r="P35" s="8" t="s">
        <v>14</v>
      </c>
      <c r="Q35" s="8" t="s">
        <v>120</v>
      </c>
    </row>
    <row r="36" spans="8:17" x14ac:dyDescent="0.25">
      <c r="J36" s="6">
        <v>3</v>
      </c>
      <c r="M36" s="49">
        <v>3.4</v>
      </c>
      <c r="O36" s="50">
        <v>3.7499999999999999E-2</v>
      </c>
      <c r="P36" s="6">
        <v>100</v>
      </c>
      <c r="Q36" s="7">
        <f>P36*O36</f>
        <v>3.75</v>
      </c>
    </row>
    <row r="37" spans="8:17" x14ac:dyDescent="0.25">
      <c r="J37" s="6">
        <v>4</v>
      </c>
      <c r="M37" s="49">
        <v>4.4000000000000004</v>
      </c>
      <c r="Q37" t="str">
        <f ca="1">_xlfn.FORMULATEXT(Q36)</f>
        <v>=P36*O36</v>
      </c>
    </row>
    <row r="38" spans="8:17" x14ac:dyDescent="0.25">
      <c r="J38" s="6">
        <v>5</v>
      </c>
      <c r="M38" s="49">
        <v>5.4</v>
      </c>
    </row>
    <row r="39" spans="8:17" x14ac:dyDescent="0.25">
      <c r="H39" s="4" t="s">
        <v>13</v>
      </c>
      <c r="I39" s="4"/>
      <c r="J39" s="7">
        <f>SUM(J36:J38)</f>
        <v>12</v>
      </c>
      <c r="K39" s="39" t="s">
        <v>101</v>
      </c>
      <c r="L39" s="39"/>
      <c r="M39" s="41">
        <f>SUM(M36:M38)</f>
        <v>13.200000000000001</v>
      </c>
      <c r="O39" t="s">
        <v>102</v>
      </c>
    </row>
    <row r="40" spans="8:17" ht="4.9000000000000004" customHeight="1" x14ac:dyDescent="0.25"/>
    <row r="41" spans="8:17" x14ac:dyDescent="0.25">
      <c r="J41" t="s">
        <v>100</v>
      </c>
    </row>
  </sheetData>
  <printOptions headings="1"/>
  <pageMargins left="0.3" right="0.3" top="0.4" bottom="0.6" header="0.3" footer="0.3"/>
  <pageSetup scale="89" orientation="landscape" r:id="rId2"/>
  <headerFooter>
    <oddFooter>&amp;L&amp;D&amp;CPage &amp;P of &amp;N&amp;R&amp;A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B080-D606-4BF8-8554-EC648CB5B513}">
  <sheetPr codeName="Sheet6">
    <tabColor rgb="FFFFFF00"/>
  </sheetPr>
  <dimension ref="A1:XFD81"/>
  <sheetViews>
    <sheetView showGridLines="0" zoomScaleNormal="100" zoomScaleSheetLayoutView="130" workbookViewId="0"/>
  </sheetViews>
  <sheetFormatPr defaultRowHeight="15" x14ac:dyDescent="0.25"/>
  <cols>
    <col min="1" max="1" width="114.140625" customWidth="1"/>
  </cols>
  <sheetData>
    <row r="1" spans="1:16384" x14ac:dyDescent="0.25">
      <c r="A1" s="18"/>
    </row>
    <row r="2" spans="1:16384" x14ac:dyDescent="0.25">
      <c r="A2" s="18" t="s">
        <v>93</v>
      </c>
    </row>
    <row r="3" spans="1:16384" x14ac:dyDescent="0.25">
      <c r="A3" s="19" t="s">
        <v>45</v>
      </c>
    </row>
    <row r="4" spans="1:16384" x14ac:dyDescent="0.25">
      <c r="A4" s="19" t="s">
        <v>46</v>
      </c>
    </row>
    <row r="5" spans="1:16384" x14ac:dyDescent="0.25">
      <c r="A5" s="19" t="s">
        <v>47</v>
      </c>
    </row>
    <row r="6" spans="1:16384" x14ac:dyDescent="0.25">
      <c r="A6" s="19" t="s">
        <v>90</v>
      </c>
    </row>
    <row r="7" spans="1:16384" ht="30" x14ac:dyDescent="0.25">
      <c r="A7" s="54" t="s">
        <v>184</v>
      </c>
    </row>
    <row r="8" spans="1:16384" x14ac:dyDescent="0.25">
      <c r="A8" s="56" t="s">
        <v>181</v>
      </c>
    </row>
    <row r="9" spans="1:16384" x14ac:dyDescent="0.25">
      <c r="A9" s="19" t="s">
        <v>68</v>
      </c>
    </row>
    <row r="10" spans="1:16384" x14ac:dyDescent="0.25">
      <c r="A10" s="19" t="s">
        <v>66</v>
      </c>
    </row>
    <row r="11" spans="1:16384" x14ac:dyDescent="0.25">
      <c r="A11" s="19" t="s">
        <v>67</v>
      </c>
    </row>
    <row r="12" spans="1:16384" x14ac:dyDescent="0.25">
      <c r="A12" s="19" t="s">
        <v>180</v>
      </c>
    </row>
    <row r="13" spans="1:16384" x14ac:dyDescent="0.25">
      <c r="A13" s="19" t="s">
        <v>72</v>
      </c>
    </row>
    <row r="14" spans="1:16384" x14ac:dyDescent="0.25">
      <c r="A14" s="43" t="s">
        <v>178</v>
      </c>
    </row>
    <row r="15" spans="1:16384" ht="90" x14ac:dyDescent="0.25">
      <c r="A15" s="57" t="s">
        <v>179</v>
      </c>
    </row>
    <row r="16" spans="1:16384" x14ac:dyDescent="0.25">
      <c r="A16" s="56" t="s">
        <v>185</v>
      </c>
      <c r="B16" t="s">
        <v>188</v>
      </c>
      <c r="C16" t="s">
        <v>188</v>
      </c>
      <c r="D16" t="s">
        <v>188</v>
      </c>
      <c r="E16" t="s">
        <v>188</v>
      </c>
      <c r="F16" t="s">
        <v>188</v>
      </c>
      <c r="G16" t="s">
        <v>188</v>
      </c>
      <c r="H16" t="s">
        <v>188</v>
      </c>
      <c r="I16" t="s">
        <v>188</v>
      </c>
      <c r="J16" t="s">
        <v>188</v>
      </c>
      <c r="K16" t="s">
        <v>188</v>
      </c>
      <c r="L16" t="s">
        <v>188</v>
      </c>
      <c r="M16" t="s">
        <v>188</v>
      </c>
      <c r="N16" t="s">
        <v>188</v>
      </c>
      <c r="O16" t="s">
        <v>188</v>
      </c>
      <c r="P16" t="s">
        <v>188</v>
      </c>
      <c r="Q16" t="s">
        <v>188</v>
      </c>
      <c r="R16" t="s">
        <v>188</v>
      </c>
      <c r="S16" t="s">
        <v>188</v>
      </c>
      <c r="T16" t="s">
        <v>188</v>
      </c>
      <c r="U16" t="s">
        <v>188</v>
      </c>
      <c r="V16" t="s">
        <v>188</v>
      </c>
      <c r="W16" t="s">
        <v>188</v>
      </c>
      <c r="X16" t="s">
        <v>188</v>
      </c>
      <c r="Y16" t="s">
        <v>188</v>
      </c>
      <c r="Z16" t="s">
        <v>188</v>
      </c>
      <c r="AA16" t="s">
        <v>188</v>
      </c>
      <c r="AB16" t="s">
        <v>188</v>
      </c>
      <c r="AC16" t="s">
        <v>188</v>
      </c>
      <c r="AD16" t="s">
        <v>188</v>
      </c>
      <c r="AE16" t="s">
        <v>188</v>
      </c>
      <c r="AF16" t="s">
        <v>188</v>
      </c>
      <c r="AG16" t="s">
        <v>188</v>
      </c>
      <c r="AH16" t="s">
        <v>188</v>
      </c>
      <c r="AI16" t="s">
        <v>188</v>
      </c>
      <c r="AJ16" t="s">
        <v>188</v>
      </c>
      <c r="AK16" t="s">
        <v>188</v>
      </c>
      <c r="AL16" t="s">
        <v>188</v>
      </c>
      <c r="AM16" t="s">
        <v>188</v>
      </c>
      <c r="AN16" t="s">
        <v>188</v>
      </c>
      <c r="AO16" t="s">
        <v>188</v>
      </c>
      <c r="AP16" t="s">
        <v>188</v>
      </c>
      <c r="AQ16" t="s">
        <v>188</v>
      </c>
      <c r="AR16" t="s">
        <v>188</v>
      </c>
      <c r="AS16" t="s">
        <v>188</v>
      </c>
      <c r="AT16" t="s">
        <v>188</v>
      </c>
      <c r="AU16" t="s">
        <v>188</v>
      </c>
      <c r="AV16" t="s">
        <v>188</v>
      </c>
      <c r="AW16" t="s">
        <v>188</v>
      </c>
      <c r="AX16" t="s">
        <v>188</v>
      </c>
      <c r="AY16" t="s">
        <v>188</v>
      </c>
      <c r="AZ16" t="s">
        <v>188</v>
      </c>
      <c r="BA16" t="s">
        <v>188</v>
      </c>
      <c r="BB16" t="s">
        <v>188</v>
      </c>
      <c r="BC16" t="s">
        <v>188</v>
      </c>
      <c r="BD16" t="s">
        <v>188</v>
      </c>
      <c r="BE16" t="s">
        <v>188</v>
      </c>
      <c r="BF16" t="s">
        <v>188</v>
      </c>
      <c r="BG16" t="s">
        <v>188</v>
      </c>
      <c r="BH16" t="s">
        <v>188</v>
      </c>
      <c r="BI16" t="s">
        <v>188</v>
      </c>
      <c r="BJ16" t="s">
        <v>188</v>
      </c>
      <c r="BK16" t="s">
        <v>188</v>
      </c>
      <c r="BL16" t="s">
        <v>188</v>
      </c>
      <c r="BM16" t="s">
        <v>188</v>
      </c>
      <c r="BN16" t="s">
        <v>188</v>
      </c>
      <c r="BO16" t="s">
        <v>188</v>
      </c>
      <c r="BP16" t="s">
        <v>188</v>
      </c>
      <c r="BQ16" t="s">
        <v>188</v>
      </c>
      <c r="BR16" t="s">
        <v>188</v>
      </c>
      <c r="BS16" t="s">
        <v>188</v>
      </c>
      <c r="BT16" t="s">
        <v>188</v>
      </c>
      <c r="BU16" t="s">
        <v>188</v>
      </c>
      <c r="BV16" t="s">
        <v>188</v>
      </c>
      <c r="BW16" t="s">
        <v>188</v>
      </c>
      <c r="BX16" t="s">
        <v>188</v>
      </c>
      <c r="BY16" t="s">
        <v>188</v>
      </c>
      <c r="BZ16" t="s">
        <v>188</v>
      </c>
      <c r="CA16" t="s">
        <v>188</v>
      </c>
      <c r="CB16" t="s">
        <v>188</v>
      </c>
      <c r="CC16" t="s">
        <v>188</v>
      </c>
      <c r="CD16" t="s">
        <v>188</v>
      </c>
      <c r="CE16" t="s">
        <v>188</v>
      </c>
      <c r="CF16" t="s">
        <v>188</v>
      </c>
      <c r="CG16" t="s">
        <v>188</v>
      </c>
      <c r="CH16" t="s">
        <v>188</v>
      </c>
      <c r="CI16" t="s">
        <v>188</v>
      </c>
      <c r="CJ16" t="s">
        <v>188</v>
      </c>
      <c r="CK16" t="s">
        <v>188</v>
      </c>
      <c r="CL16" t="s">
        <v>188</v>
      </c>
      <c r="CM16" t="s">
        <v>188</v>
      </c>
      <c r="CN16" t="s">
        <v>188</v>
      </c>
      <c r="CO16" t="s">
        <v>188</v>
      </c>
      <c r="CP16" t="s">
        <v>188</v>
      </c>
      <c r="CQ16" t="s">
        <v>188</v>
      </c>
      <c r="CR16" t="s">
        <v>188</v>
      </c>
      <c r="CS16" t="s">
        <v>188</v>
      </c>
      <c r="CT16" t="s">
        <v>188</v>
      </c>
      <c r="CU16" t="s">
        <v>188</v>
      </c>
      <c r="CV16" t="s">
        <v>188</v>
      </c>
      <c r="CW16" t="s">
        <v>188</v>
      </c>
      <c r="CX16" t="s">
        <v>188</v>
      </c>
      <c r="CY16" t="s">
        <v>188</v>
      </c>
      <c r="CZ16" t="s">
        <v>188</v>
      </c>
      <c r="DA16" t="s">
        <v>188</v>
      </c>
      <c r="DB16" t="s">
        <v>188</v>
      </c>
      <c r="DC16" t="s">
        <v>188</v>
      </c>
      <c r="DD16" t="s">
        <v>188</v>
      </c>
      <c r="DE16" t="s">
        <v>188</v>
      </c>
      <c r="DF16" t="s">
        <v>188</v>
      </c>
      <c r="DG16" t="s">
        <v>188</v>
      </c>
      <c r="DH16" t="s">
        <v>188</v>
      </c>
      <c r="DI16" t="s">
        <v>188</v>
      </c>
      <c r="DJ16" t="s">
        <v>188</v>
      </c>
      <c r="DK16" t="s">
        <v>188</v>
      </c>
      <c r="DL16" t="s">
        <v>188</v>
      </c>
      <c r="DM16" t="s">
        <v>188</v>
      </c>
      <c r="DN16" t="s">
        <v>188</v>
      </c>
      <c r="DO16" t="s">
        <v>188</v>
      </c>
      <c r="DP16" t="s">
        <v>188</v>
      </c>
      <c r="DQ16" t="s">
        <v>188</v>
      </c>
      <c r="DR16" t="s">
        <v>188</v>
      </c>
      <c r="DS16" t="s">
        <v>188</v>
      </c>
      <c r="DT16" t="s">
        <v>188</v>
      </c>
      <c r="DU16" t="s">
        <v>188</v>
      </c>
      <c r="DV16" t="s">
        <v>188</v>
      </c>
      <c r="DW16" t="s">
        <v>188</v>
      </c>
      <c r="DX16" t="s">
        <v>188</v>
      </c>
      <c r="DY16" t="s">
        <v>188</v>
      </c>
      <c r="DZ16" t="s">
        <v>188</v>
      </c>
      <c r="EA16" t="s">
        <v>188</v>
      </c>
      <c r="EB16" t="s">
        <v>188</v>
      </c>
      <c r="EC16" t="s">
        <v>188</v>
      </c>
      <c r="ED16" t="s">
        <v>188</v>
      </c>
      <c r="EE16" t="s">
        <v>188</v>
      </c>
      <c r="EF16" t="s">
        <v>188</v>
      </c>
      <c r="EG16" t="s">
        <v>188</v>
      </c>
      <c r="EH16" t="s">
        <v>188</v>
      </c>
      <c r="EI16" t="s">
        <v>188</v>
      </c>
      <c r="EJ16" t="s">
        <v>188</v>
      </c>
      <c r="EK16" t="s">
        <v>188</v>
      </c>
      <c r="EL16" t="s">
        <v>188</v>
      </c>
      <c r="EM16" t="s">
        <v>188</v>
      </c>
      <c r="EN16" t="s">
        <v>188</v>
      </c>
      <c r="EO16" t="s">
        <v>188</v>
      </c>
      <c r="EP16" t="s">
        <v>188</v>
      </c>
      <c r="EQ16" t="s">
        <v>188</v>
      </c>
      <c r="ER16" t="s">
        <v>188</v>
      </c>
      <c r="ES16" t="s">
        <v>188</v>
      </c>
      <c r="ET16" t="s">
        <v>188</v>
      </c>
      <c r="EU16" t="s">
        <v>188</v>
      </c>
      <c r="EV16" t="s">
        <v>188</v>
      </c>
      <c r="EW16" t="s">
        <v>188</v>
      </c>
      <c r="EX16" t="s">
        <v>188</v>
      </c>
      <c r="EY16" t="s">
        <v>188</v>
      </c>
      <c r="EZ16" t="s">
        <v>188</v>
      </c>
      <c r="FA16" t="s">
        <v>188</v>
      </c>
      <c r="FB16" t="s">
        <v>188</v>
      </c>
      <c r="FC16" t="s">
        <v>188</v>
      </c>
      <c r="FD16" t="s">
        <v>188</v>
      </c>
      <c r="FE16" t="s">
        <v>188</v>
      </c>
      <c r="FF16" t="s">
        <v>188</v>
      </c>
      <c r="FG16" t="s">
        <v>188</v>
      </c>
      <c r="FH16" t="s">
        <v>188</v>
      </c>
      <c r="FI16" t="s">
        <v>188</v>
      </c>
      <c r="FJ16" t="s">
        <v>188</v>
      </c>
      <c r="FK16" t="s">
        <v>188</v>
      </c>
      <c r="FL16" t="s">
        <v>188</v>
      </c>
      <c r="FM16" t="s">
        <v>188</v>
      </c>
      <c r="FN16" t="s">
        <v>188</v>
      </c>
      <c r="FO16" t="s">
        <v>188</v>
      </c>
      <c r="FP16" t="s">
        <v>188</v>
      </c>
      <c r="FQ16" t="s">
        <v>188</v>
      </c>
      <c r="FR16" t="s">
        <v>188</v>
      </c>
      <c r="FS16" t="s">
        <v>188</v>
      </c>
      <c r="FT16" t="s">
        <v>188</v>
      </c>
      <c r="FU16" t="s">
        <v>188</v>
      </c>
      <c r="FV16" t="s">
        <v>188</v>
      </c>
      <c r="FW16" t="s">
        <v>188</v>
      </c>
      <c r="FX16" t="s">
        <v>188</v>
      </c>
      <c r="FY16" t="s">
        <v>188</v>
      </c>
      <c r="FZ16" t="s">
        <v>188</v>
      </c>
      <c r="GA16" t="s">
        <v>188</v>
      </c>
      <c r="GB16" t="s">
        <v>188</v>
      </c>
      <c r="GC16" t="s">
        <v>188</v>
      </c>
      <c r="GD16" t="s">
        <v>188</v>
      </c>
      <c r="GE16" t="s">
        <v>188</v>
      </c>
      <c r="GF16" t="s">
        <v>188</v>
      </c>
      <c r="GG16" t="s">
        <v>188</v>
      </c>
      <c r="GH16" t="s">
        <v>188</v>
      </c>
      <c r="GI16" t="s">
        <v>188</v>
      </c>
      <c r="GJ16" t="s">
        <v>188</v>
      </c>
      <c r="GK16" t="s">
        <v>188</v>
      </c>
      <c r="GL16" t="s">
        <v>188</v>
      </c>
      <c r="GM16" t="s">
        <v>188</v>
      </c>
      <c r="GN16" t="s">
        <v>188</v>
      </c>
      <c r="GO16" t="s">
        <v>188</v>
      </c>
      <c r="GP16" t="s">
        <v>188</v>
      </c>
      <c r="GQ16" t="s">
        <v>188</v>
      </c>
      <c r="GR16" t="s">
        <v>188</v>
      </c>
      <c r="GS16" t="s">
        <v>188</v>
      </c>
      <c r="GT16" t="s">
        <v>188</v>
      </c>
      <c r="GU16" t="s">
        <v>188</v>
      </c>
      <c r="GV16" t="s">
        <v>188</v>
      </c>
      <c r="GW16" t="s">
        <v>188</v>
      </c>
      <c r="GX16" t="s">
        <v>188</v>
      </c>
      <c r="GY16" t="s">
        <v>188</v>
      </c>
      <c r="GZ16" t="s">
        <v>188</v>
      </c>
      <c r="HA16" t="s">
        <v>188</v>
      </c>
      <c r="HB16" t="s">
        <v>188</v>
      </c>
      <c r="HC16" t="s">
        <v>188</v>
      </c>
      <c r="HD16" t="s">
        <v>188</v>
      </c>
      <c r="HE16" t="s">
        <v>188</v>
      </c>
      <c r="HF16" t="s">
        <v>188</v>
      </c>
      <c r="HG16" t="s">
        <v>188</v>
      </c>
      <c r="HH16" t="s">
        <v>188</v>
      </c>
      <c r="HI16" t="s">
        <v>188</v>
      </c>
      <c r="HJ16" t="s">
        <v>188</v>
      </c>
      <c r="HK16" t="s">
        <v>188</v>
      </c>
      <c r="HL16" t="s">
        <v>188</v>
      </c>
      <c r="HM16" t="s">
        <v>188</v>
      </c>
      <c r="HN16" t="s">
        <v>188</v>
      </c>
      <c r="HO16" t="s">
        <v>188</v>
      </c>
      <c r="HP16" t="s">
        <v>188</v>
      </c>
      <c r="HQ16" t="s">
        <v>188</v>
      </c>
      <c r="HR16" t="s">
        <v>188</v>
      </c>
      <c r="HS16" t="s">
        <v>188</v>
      </c>
      <c r="HT16" t="s">
        <v>188</v>
      </c>
      <c r="HU16" t="s">
        <v>188</v>
      </c>
      <c r="HV16" t="s">
        <v>188</v>
      </c>
      <c r="HW16" t="s">
        <v>188</v>
      </c>
      <c r="HX16" t="s">
        <v>188</v>
      </c>
      <c r="HY16" t="s">
        <v>188</v>
      </c>
      <c r="HZ16" t="s">
        <v>188</v>
      </c>
      <c r="IA16" t="s">
        <v>188</v>
      </c>
      <c r="IB16" t="s">
        <v>188</v>
      </c>
      <c r="IC16" t="s">
        <v>188</v>
      </c>
      <c r="ID16" t="s">
        <v>188</v>
      </c>
      <c r="IE16" t="s">
        <v>188</v>
      </c>
      <c r="IF16" t="s">
        <v>188</v>
      </c>
      <c r="IG16" t="s">
        <v>188</v>
      </c>
      <c r="IH16" t="s">
        <v>188</v>
      </c>
      <c r="II16" t="s">
        <v>188</v>
      </c>
      <c r="IJ16" t="s">
        <v>188</v>
      </c>
      <c r="IK16" t="s">
        <v>188</v>
      </c>
      <c r="IL16" t="s">
        <v>188</v>
      </c>
      <c r="IM16" t="s">
        <v>188</v>
      </c>
      <c r="IN16" t="s">
        <v>188</v>
      </c>
      <c r="IO16" t="s">
        <v>188</v>
      </c>
      <c r="IP16" t="s">
        <v>188</v>
      </c>
      <c r="IQ16" t="s">
        <v>188</v>
      </c>
      <c r="IR16" t="s">
        <v>188</v>
      </c>
      <c r="IS16" t="s">
        <v>188</v>
      </c>
      <c r="IT16" t="s">
        <v>188</v>
      </c>
      <c r="IU16" t="s">
        <v>188</v>
      </c>
      <c r="IV16" t="s">
        <v>188</v>
      </c>
      <c r="IW16" t="s">
        <v>188</v>
      </c>
      <c r="IX16" t="s">
        <v>188</v>
      </c>
      <c r="IY16" t="s">
        <v>188</v>
      </c>
      <c r="IZ16" t="s">
        <v>188</v>
      </c>
      <c r="JA16" t="s">
        <v>188</v>
      </c>
      <c r="JB16" t="s">
        <v>188</v>
      </c>
      <c r="JC16" t="s">
        <v>188</v>
      </c>
      <c r="JD16" t="s">
        <v>188</v>
      </c>
      <c r="JE16" t="s">
        <v>188</v>
      </c>
      <c r="JF16" t="s">
        <v>188</v>
      </c>
      <c r="JG16" t="s">
        <v>188</v>
      </c>
      <c r="JH16" t="s">
        <v>188</v>
      </c>
      <c r="JI16" t="s">
        <v>188</v>
      </c>
      <c r="JJ16" t="s">
        <v>188</v>
      </c>
      <c r="JK16" t="s">
        <v>188</v>
      </c>
      <c r="JL16" t="s">
        <v>188</v>
      </c>
      <c r="JM16" t="s">
        <v>188</v>
      </c>
      <c r="JN16" t="s">
        <v>188</v>
      </c>
      <c r="JO16" t="s">
        <v>188</v>
      </c>
      <c r="JP16" t="s">
        <v>188</v>
      </c>
      <c r="JQ16" t="s">
        <v>188</v>
      </c>
      <c r="JR16" t="s">
        <v>188</v>
      </c>
      <c r="JS16" t="s">
        <v>188</v>
      </c>
      <c r="JT16" t="s">
        <v>188</v>
      </c>
      <c r="JU16" t="s">
        <v>188</v>
      </c>
      <c r="JV16" t="s">
        <v>188</v>
      </c>
      <c r="JW16" t="s">
        <v>188</v>
      </c>
      <c r="JX16" t="s">
        <v>188</v>
      </c>
      <c r="JY16" t="s">
        <v>188</v>
      </c>
      <c r="JZ16" t="s">
        <v>188</v>
      </c>
      <c r="KA16" t="s">
        <v>188</v>
      </c>
      <c r="KB16" t="s">
        <v>188</v>
      </c>
      <c r="KC16" t="s">
        <v>188</v>
      </c>
      <c r="KD16" t="s">
        <v>188</v>
      </c>
      <c r="KE16" t="s">
        <v>188</v>
      </c>
      <c r="KF16" t="s">
        <v>188</v>
      </c>
      <c r="KG16" t="s">
        <v>188</v>
      </c>
      <c r="KH16" t="s">
        <v>188</v>
      </c>
      <c r="KI16" t="s">
        <v>188</v>
      </c>
      <c r="KJ16" t="s">
        <v>188</v>
      </c>
      <c r="KK16" t="s">
        <v>188</v>
      </c>
      <c r="KL16" t="s">
        <v>188</v>
      </c>
      <c r="KM16" t="s">
        <v>188</v>
      </c>
      <c r="KN16" t="s">
        <v>188</v>
      </c>
      <c r="KO16" t="s">
        <v>188</v>
      </c>
      <c r="KP16" t="s">
        <v>188</v>
      </c>
      <c r="KQ16" t="s">
        <v>188</v>
      </c>
      <c r="KR16" t="s">
        <v>188</v>
      </c>
      <c r="KS16" t="s">
        <v>188</v>
      </c>
      <c r="KT16" t="s">
        <v>188</v>
      </c>
      <c r="KU16" t="s">
        <v>188</v>
      </c>
      <c r="KV16" t="s">
        <v>188</v>
      </c>
      <c r="KW16" t="s">
        <v>188</v>
      </c>
      <c r="KX16" t="s">
        <v>188</v>
      </c>
      <c r="KY16" t="s">
        <v>188</v>
      </c>
      <c r="KZ16" t="s">
        <v>188</v>
      </c>
      <c r="LA16" t="s">
        <v>188</v>
      </c>
      <c r="LB16" t="s">
        <v>188</v>
      </c>
      <c r="LC16" t="s">
        <v>188</v>
      </c>
      <c r="LD16" t="s">
        <v>188</v>
      </c>
      <c r="LE16" t="s">
        <v>188</v>
      </c>
      <c r="LF16" t="s">
        <v>188</v>
      </c>
      <c r="LG16" t="s">
        <v>188</v>
      </c>
      <c r="LH16" t="s">
        <v>188</v>
      </c>
      <c r="LI16" t="s">
        <v>188</v>
      </c>
      <c r="LJ16" t="s">
        <v>188</v>
      </c>
      <c r="LK16" t="s">
        <v>188</v>
      </c>
      <c r="LL16" t="s">
        <v>188</v>
      </c>
      <c r="LM16" t="s">
        <v>188</v>
      </c>
      <c r="LN16" t="s">
        <v>188</v>
      </c>
      <c r="LO16" t="s">
        <v>188</v>
      </c>
      <c r="LP16" t="s">
        <v>188</v>
      </c>
      <c r="LQ16" t="s">
        <v>188</v>
      </c>
      <c r="LR16" t="s">
        <v>188</v>
      </c>
      <c r="LS16" t="s">
        <v>188</v>
      </c>
      <c r="LT16" t="s">
        <v>188</v>
      </c>
      <c r="LU16" t="s">
        <v>188</v>
      </c>
      <c r="LV16" t="s">
        <v>188</v>
      </c>
      <c r="LW16" t="s">
        <v>188</v>
      </c>
      <c r="LX16" t="s">
        <v>188</v>
      </c>
      <c r="LY16" t="s">
        <v>188</v>
      </c>
      <c r="LZ16" t="s">
        <v>188</v>
      </c>
      <c r="MA16" t="s">
        <v>188</v>
      </c>
      <c r="MB16" t="s">
        <v>188</v>
      </c>
      <c r="MC16" t="s">
        <v>188</v>
      </c>
      <c r="MD16" t="s">
        <v>188</v>
      </c>
      <c r="ME16" t="s">
        <v>188</v>
      </c>
      <c r="MF16" t="s">
        <v>188</v>
      </c>
      <c r="MG16" t="s">
        <v>188</v>
      </c>
      <c r="MH16" t="s">
        <v>188</v>
      </c>
      <c r="MI16" t="s">
        <v>188</v>
      </c>
      <c r="MJ16" t="s">
        <v>188</v>
      </c>
      <c r="MK16" t="s">
        <v>188</v>
      </c>
      <c r="ML16" t="s">
        <v>188</v>
      </c>
      <c r="MM16" t="s">
        <v>188</v>
      </c>
      <c r="MN16" t="s">
        <v>188</v>
      </c>
      <c r="MO16" t="s">
        <v>188</v>
      </c>
      <c r="MP16" t="s">
        <v>188</v>
      </c>
      <c r="MQ16" t="s">
        <v>188</v>
      </c>
      <c r="MR16" t="s">
        <v>188</v>
      </c>
      <c r="MS16" t="s">
        <v>188</v>
      </c>
      <c r="MT16" t="s">
        <v>188</v>
      </c>
      <c r="MU16" t="s">
        <v>188</v>
      </c>
      <c r="MV16" t="s">
        <v>188</v>
      </c>
      <c r="MW16" t="s">
        <v>188</v>
      </c>
      <c r="MX16" t="s">
        <v>188</v>
      </c>
      <c r="MY16" t="s">
        <v>188</v>
      </c>
      <c r="MZ16" t="s">
        <v>188</v>
      </c>
      <c r="NA16" t="s">
        <v>188</v>
      </c>
      <c r="NB16" t="s">
        <v>188</v>
      </c>
      <c r="NC16" t="s">
        <v>188</v>
      </c>
      <c r="ND16" t="s">
        <v>188</v>
      </c>
      <c r="NE16" t="s">
        <v>188</v>
      </c>
      <c r="NF16" t="s">
        <v>188</v>
      </c>
      <c r="NG16" t="s">
        <v>188</v>
      </c>
      <c r="NH16" t="s">
        <v>188</v>
      </c>
      <c r="NI16" t="s">
        <v>188</v>
      </c>
      <c r="NJ16" t="s">
        <v>188</v>
      </c>
      <c r="NK16" t="s">
        <v>188</v>
      </c>
      <c r="NL16" t="s">
        <v>188</v>
      </c>
      <c r="NM16" t="s">
        <v>188</v>
      </c>
      <c r="NN16" t="s">
        <v>188</v>
      </c>
      <c r="NO16" t="s">
        <v>188</v>
      </c>
      <c r="NP16" t="s">
        <v>188</v>
      </c>
      <c r="NQ16" t="s">
        <v>188</v>
      </c>
      <c r="NR16" t="s">
        <v>188</v>
      </c>
      <c r="NS16" t="s">
        <v>188</v>
      </c>
      <c r="NT16" t="s">
        <v>188</v>
      </c>
      <c r="NU16" t="s">
        <v>188</v>
      </c>
      <c r="NV16" t="s">
        <v>188</v>
      </c>
      <c r="NW16" t="s">
        <v>188</v>
      </c>
      <c r="NX16" t="s">
        <v>188</v>
      </c>
      <c r="NY16" t="s">
        <v>188</v>
      </c>
      <c r="NZ16" t="s">
        <v>188</v>
      </c>
      <c r="OA16" t="s">
        <v>188</v>
      </c>
      <c r="OB16" t="s">
        <v>188</v>
      </c>
      <c r="OC16" t="s">
        <v>188</v>
      </c>
      <c r="OD16" t="s">
        <v>188</v>
      </c>
      <c r="OE16" t="s">
        <v>188</v>
      </c>
      <c r="OF16" t="s">
        <v>188</v>
      </c>
      <c r="OG16" t="s">
        <v>188</v>
      </c>
      <c r="OH16" t="s">
        <v>188</v>
      </c>
      <c r="OI16" t="s">
        <v>188</v>
      </c>
      <c r="OJ16" t="s">
        <v>188</v>
      </c>
      <c r="OK16" t="s">
        <v>188</v>
      </c>
      <c r="OL16" t="s">
        <v>188</v>
      </c>
      <c r="OM16" t="s">
        <v>188</v>
      </c>
      <c r="ON16" t="s">
        <v>188</v>
      </c>
      <c r="OO16" t="s">
        <v>188</v>
      </c>
      <c r="OP16" t="s">
        <v>188</v>
      </c>
      <c r="OQ16" t="s">
        <v>188</v>
      </c>
      <c r="OR16" t="s">
        <v>188</v>
      </c>
      <c r="OS16" t="s">
        <v>188</v>
      </c>
      <c r="OT16" t="s">
        <v>188</v>
      </c>
      <c r="OU16" t="s">
        <v>188</v>
      </c>
      <c r="OV16" t="s">
        <v>188</v>
      </c>
      <c r="OW16" t="s">
        <v>188</v>
      </c>
      <c r="OX16" t="s">
        <v>188</v>
      </c>
      <c r="OY16" t="s">
        <v>188</v>
      </c>
      <c r="OZ16" t="s">
        <v>188</v>
      </c>
      <c r="PA16" t="s">
        <v>188</v>
      </c>
      <c r="PB16" t="s">
        <v>188</v>
      </c>
      <c r="PC16" t="s">
        <v>188</v>
      </c>
      <c r="PD16" t="s">
        <v>188</v>
      </c>
      <c r="PE16" t="s">
        <v>188</v>
      </c>
      <c r="PF16" t="s">
        <v>188</v>
      </c>
      <c r="PG16" t="s">
        <v>188</v>
      </c>
      <c r="PH16" t="s">
        <v>188</v>
      </c>
      <c r="PI16" t="s">
        <v>188</v>
      </c>
      <c r="PJ16" t="s">
        <v>188</v>
      </c>
      <c r="PK16" t="s">
        <v>188</v>
      </c>
      <c r="PL16" t="s">
        <v>188</v>
      </c>
      <c r="PM16" t="s">
        <v>188</v>
      </c>
      <c r="PN16" t="s">
        <v>188</v>
      </c>
      <c r="PO16" t="s">
        <v>188</v>
      </c>
      <c r="PP16" t="s">
        <v>188</v>
      </c>
      <c r="PQ16" t="s">
        <v>188</v>
      </c>
      <c r="PR16" t="s">
        <v>188</v>
      </c>
      <c r="PS16" t="s">
        <v>188</v>
      </c>
      <c r="PT16" t="s">
        <v>188</v>
      </c>
      <c r="PU16" t="s">
        <v>188</v>
      </c>
      <c r="PV16" t="s">
        <v>188</v>
      </c>
      <c r="PW16" t="s">
        <v>188</v>
      </c>
      <c r="PX16" t="s">
        <v>188</v>
      </c>
      <c r="PY16" t="s">
        <v>188</v>
      </c>
      <c r="PZ16" t="s">
        <v>188</v>
      </c>
      <c r="QA16" t="s">
        <v>188</v>
      </c>
      <c r="QB16" t="s">
        <v>188</v>
      </c>
      <c r="QC16" t="s">
        <v>188</v>
      </c>
      <c r="QD16" t="s">
        <v>188</v>
      </c>
      <c r="QE16" t="s">
        <v>188</v>
      </c>
      <c r="QF16" t="s">
        <v>188</v>
      </c>
      <c r="QG16" t="s">
        <v>188</v>
      </c>
      <c r="QH16" t="s">
        <v>188</v>
      </c>
      <c r="QI16" t="s">
        <v>188</v>
      </c>
      <c r="QJ16" t="s">
        <v>188</v>
      </c>
      <c r="QK16" t="s">
        <v>188</v>
      </c>
      <c r="QL16" t="s">
        <v>188</v>
      </c>
      <c r="QM16" t="s">
        <v>188</v>
      </c>
      <c r="QN16" t="s">
        <v>188</v>
      </c>
      <c r="QO16" t="s">
        <v>188</v>
      </c>
      <c r="QP16" t="s">
        <v>188</v>
      </c>
      <c r="QQ16" t="s">
        <v>188</v>
      </c>
      <c r="QR16" t="s">
        <v>188</v>
      </c>
      <c r="QS16" t="s">
        <v>188</v>
      </c>
      <c r="QT16" t="s">
        <v>188</v>
      </c>
      <c r="QU16" t="s">
        <v>188</v>
      </c>
      <c r="QV16" t="s">
        <v>188</v>
      </c>
      <c r="QW16" t="s">
        <v>188</v>
      </c>
      <c r="QX16" t="s">
        <v>188</v>
      </c>
      <c r="QY16" t="s">
        <v>188</v>
      </c>
      <c r="QZ16" t="s">
        <v>188</v>
      </c>
      <c r="RA16" t="s">
        <v>188</v>
      </c>
      <c r="RB16" t="s">
        <v>188</v>
      </c>
      <c r="RC16" t="s">
        <v>188</v>
      </c>
      <c r="RD16" t="s">
        <v>188</v>
      </c>
      <c r="RE16" t="s">
        <v>188</v>
      </c>
      <c r="RF16" t="s">
        <v>188</v>
      </c>
      <c r="RG16" t="s">
        <v>188</v>
      </c>
      <c r="RH16" t="s">
        <v>188</v>
      </c>
      <c r="RI16" t="s">
        <v>188</v>
      </c>
      <c r="RJ16" t="s">
        <v>188</v>
      </c>
      <c r="RK16" t="s">
        <v>188</v>
      </c>
      <c r="RL16" t="s">
        <v>188</v>
      </c>
      <c r="RM16" t="s">
        <v>188</v>
      </c>
      <c r="RN16" t="s">
        <v>188</v>
      </c>
      <c r="RO16" t="s">
        <v>188</v>
      </c>
      <c r="RP16" t="s">
        <v>188</v>
      </c>
      <c r="RQ16" t="s">
        <v>188</v>
      </c>
      <c r="RR16" t="s">
        <v>188</v>
      </c>
      <c r="RS16" t="s">
        <v>188</v>
      </c>
      <c r="RT16" t="s">
        <v>188</v>
      </c>
      <c r="RU16" t="s">
        <v>188</v>
      </c>
      <c r="RV16" t="s">
        <v>188</v>
      </c>
      <c r="RW16" t="s">
        <v>188</v>
      </c>
      <c r="RX16" t="s">
        <v>188</v>
      </c>
      <c r="RY16" t="s">
        <v>188</v>
      </c>
      <c r="RZ16" t="s">
        <v>188</v>
      </c>
      <c r="SA16" t="s">
        <v>188</v>
      </c>
      <c r="SB16" t="s">
        <v>188</v>
      </c>
      <c r="SC16" t="s">
        <v>188</v>
      </c>
      <c r="SD16" t="s">
        <v>188</v>
      </c>
      <c r="SE16" t="s">
        <v>188</v>
      </c>
      <c r="SF16" t="s">
        <v>188</v>
      </c>
      <c r="SG16" t="s">
        <v>188</v>
      </c>
      <c r="SH16" t="s">
        <v>188</v>
      </c>
      <c r="SI16" t="s">
        <v>188</v>
      </c>
      <c r="SJ16" t="s">
        <v>188</v>
      </c>
      <c r="SK16" t="s">
        <v>188</v>
      </c>
      <c r="SL16" t="s">
        <v>188</v>
      </c>
      <c r="SM16" t="s">
        <v>188</v>
      </c>
      <c r="SN16" t="s">
        <v>188</v>
      </c>
      <c r="SO16" t="s">
        <v>188</v>
      </c>
      <c r="SP16" t="s">
        <v>188</v>
      </c>
      <c r="SQ16" t="s">
        <v>188</v>
      </c>
      <c r="SR16" t="s">
        <v>188</v>
      </c>
      <c r="SS16" t="s">
        <v>188</v>
      </c>
      <c r="ST16" t="s">
        <v>188</v>
      </c>
      <c r="SU16" t="s">
        <v>188</v>
      </c>
      <c r="SV16" t="s">
        <v>188</v>
      </c>
      <c r="SW16" t="s">
        <v>188</v>
      </c>
      <c r="SX16" t="s">
        <v>188</v>
      </c>
      <c r="SY16" t="s">
        <v>188</v>
      </c>
      <c r="SZ16" t="s">
        <v>188</v>
      </c>
      <c r="TA16" t="s">
        <v>188</v>
      </c>
      <c r="TB16" t="s">
        <v>188</v>
      </c>
      <c r="TC16" t="s">
        <v>188</v>
      </c>
      <c r="TD16" t="s">
        <v>188</v>
      </c>
      <c r="TE16" t="s">
        <v>188</v>
      </c>
      <c r="TF16" t="s">
        <v>188</v>
      </c>
      <c r="TG16" t="s">
        <v>188</v>
      </c>
      <c r="TH16" t="s">
        <v>188</v>
      </c>
      <c r="TI16" t="s">
        <v>188</v>
      </c>
      <c r="TJ16" t="s">
        <v>188</v>
      </c>
      <c r="TK16" t="s">
        <v>188</v>
      </c>
      <c r="TL16" t="s">
        <v>188</v>
      </c>
      <c r="TM16" t="s">
        <v>188</v>
      </c>
      <c r="TN16" t="s">
        <v>188</v>
      </c>
      <c r="TO16" t="s">
        <v>188</v>
      </c>
      <c r="TP16" t="s">
        <v>188</v>
      </c>
      <c r="TQ16" t="s">
        <v>188</v>
      </c>
      <c r="TR16" t="s">
        <v>188</v>
      </c>
      <c r="TS16" t="s">
        <v>188</v>
      </c>
      <c r="TT16" t="s">
        <v>188</v>
      </c>
      <c r="TU16" t="s">
        <v>188</v>
      </c>
      <c r="TV16" t="s">
        <v>188</v>
      </c>
      <c r="TW16" t="s">
        <v>188</v>
      </c>
      <c r="TX16" t="s">
        <v>188</v>
      </c>
      <c r="TY16" t="s">
        <v>188</v>
      </c>
      <c r="TZ16" t="s">
        <v>188</v>
      </c>
      <c r="UA16" t="s">
        <v>188</v>
      </c>
      <c r="UB16" t="s">
        <v>188</v>
      </c>
      <c r="UC16" t="s">
        <v>188</v>
      </c>
      <c r="UD16" t="s">
        <v>188</v>
      </c>
      <c r="UE16" t="s">
        <v>188</v>
      </c>
      <c r="UF16" t="s">
        <v>188</v>
      </c>
      <c r="UG16" t="s">
        <v>188</v>
      </c>
      <c r="UH16" t="s">
        <v>188</v>
      </c>
      <c r="UI16" t="s">
        <v>188</v>
      </c>
      <c r="UJ16" t="s">
        <v>188</v>
      </c>
      <c r="UK16" t="s">
        <v>188</v>
      </c>
      <c r="UL16" t="s">
        <v>188</v>
      </c>
      <c r="UM16" t="s">
        <v>188</v>
      </c>
      <c r="UN16" t="s">
        <v>188</v>
      </c>
      <c r="UO16" t="s">
        <v>188</v>
      </c>
      <c r="UP16" t="s">
        <v>188</v>
      </c>
      <c r="UQ16" t="s">
        <v>188</v>
      </c>
      <c r="UR16" t="s">
        <v>188</v>
      </c>
      <c r="US16" t="s">
        <v>188</v>
      </c>
      <c r="UT16" t="s">
        <v>188</v>
      </c>
      <c r="UU16" t="s">
        <v>188</v>
      </c>
      <c r="UV16" t="s">
        <v>188</v>
      </c>
      <c r="UW16" t="s">
        <v>188</v>
      </c>
      <c r="UX16" t="s">
        <v>188</v>
      </c>
      <c r="UY16" t="s">
        <v>188</v>
      </c>
      <c r="UZ16" t="s">
        <v>188</v>
      </c>
      <c r="VA16" t="s">
        <v>188</v>
      </c>
      <c r="VB16" t="s">
        <v>188</v>
      </c>
      <c r="VC16" t="s">
        <v>188</v>
      </c>
      <c r="VD16" t="s">
        <v>188</v>
      </c>
      <c r="VE16" t="s">
        <v>188</v>
      </c>
      <c r="VF16" t="s">
        <v>188</v>
      </c>
      <c r="VG16" t="s">
        <v>188</v>
      </c>
      <c r="VH16" t="s">
        <v>188</v>
      </c>
      <c r="VI16" t="s">
        <v>188</v>
      </c>
      <c r="VJ16" t="s">
        <v>188</v>
      </c>
      <c r="VK16" t="s">
        <v>188</v>
      </c>
      <c r="VL16" t="s">
        <v>188</v>
      </c>
      <c r="VM16" t="s">
        <v>188</v>
      </c>
      <c r="VN16" t="s">
        <v>188</v>
      </c>
      <c r="VO16" t="s">
        <v>188</v>
      </c>
      <c r="VP16" t="s">
        <v>188</v>
      </c>
      <c r="VQ16" t="s">
        <v>188</v>
      </c>
      <c r="VR16" t="s">
        <v>188</v>
      </c>
      <c r="VS16" t="s">
        <v>188</v>
      </c>
      <c r="VT16" t="s">
        <v>188</v>
      </c>
      <c r="VU16" t="s">
        <v>188</v>
      </c>
      <c r="VV16" t="s">
        <v>188</v>
      </c>
      <c r="VW16" t="s">
        <v>188</v>
      </c>
      <c r="VX16" t="s">
        <v>188</v>
      </c>
      <c r="VY16" t="s">
        <v>188</v>
      </c>
      <c r="VZ16" t="s">
        <v>188</v>
      </c>
      <c r="WA16" t="s">
        <v>188</v>
      </c>
      <c r="WB16" t="s">
        <v>188</v>
      </c>
      <c r="WC16" t="s">
        <v>188</v>
      </c>
      <c r="WD16" t="s">
        <v>188</v>
      </c>
      <c r="WE16" t="s">
        <v>188</v>
      </c>
      <c r="WF16" t="s">
        <v>188</v>
      </c>
      <c r="WG16" t="s">
        <v>188</v>
      </c>
      <c r="WH16" t="s">
        <v>188</v>
      </c>
      <c r="WI16" t="s">
        <v>188</v>
      </c>
      <c r="WJ16" t="s">
        <v>188</v>
      </c>
      <c r="WK16" t="s">
        <v>188</v>
      </c>
      <c r="WL16" t="s">
        <v>188</v>
      </c>
      <c r="WM16" t="s">
        <v>188</v>
      </c>
      <c r="WN16" t="s">
        <v>188</v>
      </c>
      <c r="WO16" t="s">
        <v>188</v>
      </c>
      <c r="WP16" t="s">
        <v>188</v>
      </c>
      <c r="WQ16" t="s">
        <v>188</v>
      </c>
      <c r="WR16" t="s">
        <v>188</v>
      </c>
      <c r="WS16" t="s">
        <v>188</v>
      </c>
      <c r="WT16" t="s">
        <v>188</v>
      </c>
      <c r="WU16" t="s">
        <v>188</v>
      </c>
      <c r="WV16" t="s">
        <v>188</v>
      </c>
      <c r="WW16" t="s">
        <v>188</v>
      </c>
      <c r="WX16" t="s">
        <v>188</v>
      </c>
      <c r="WY16" t="s">
        <v>188</v>
      </c>
      <c r="WZ16" t="s">
        <v>188</v>
      </c>
      <c r="XA16" t="s">
        <v>188</v>
      </c>
      <c r="XB16" t="s">
        <v>188</v>
      </c>
      <c r="XC16" t="s">
        <v>188</v>
      </c>
      <c r="XD16" t="s">
        <v>188</v>
      </c>
      <c r="XE16" t="s">
        <v>188</v>
      </c>
      <c r="XF16" t="s">
        <v>188</v>
      </c>
      <c r="XG16" t="s">
        <v>188</v>
      </c>
      <c r="XH16" t="s">
        <v>188</v>
      </c>
      <c r="XI16" t="s">
        <v>188</v>
      </c>
      <c r="XJ16" t="s">
        <v>188</v>
      </c>
      <c r="XK16" t="s">
        <v>188</v>
      </c>
      <c r="XL16" t="s">
        <v>188</v>
      </c>
      <c r="XM16" t="s">
        <v>188</v>
      </c>
      <c r="XN16" t="s">
        <v>188</v>
      </c>
      <c r="XO16" t="s">
        <v>188</v>
      </c>
      <c r="XP16" t="s">
        <v>188</v>
      </c>
      <c r="XQ16" t="s">
        <v>188</v>
      </c>
      <c r="XR16" t="s">
        <v>188</v>
      </c>
      <c r="XS16" t="s">
        <v>188</v>
      </c>
      <c r="XT16" t="s">
        <v>188</v>
      </c>
      <c r="XU16" t="s">
        <v>188</v>
      </c>
      <c r="XV16" t="s">
        <v>188</v>
      </c>
      <c r="XW16" t="s">
        <v>188</v>
      </c>
      <c r="XX16" t="s">
        <v>188</v>
      </c>
      <c r="XY16" t="s">
        <v>188</v>
      </c>
      <c r="XZ16" t="s">
        <v>188</v>
      </c>
      <c r="YA16" t="s">
        <v>188</v>
      </c>
      <c r="YB16" t="s">
        <v>188</v>
      </c>
      <c r="YC16" t="s">
        <v>188</v>
      </c>
      <c r="YD16" t="s">
        <v>188</v>
      </c>
      <c r="YE16" t="s">
        <v>188</v>
      </c>
      <c r="YF16" t="s">
        <v>188</v>
      </c>
      <c r="YG16" t="s">
        <v>188</v>
      </c>
      <c r="YH16" t="s">
        <v>188</v>
      </c>
      <c r="YI16" t="s">
        <v>188</v>
      </c>
      <c r="YJ16" t="s">
        <v>188</v>
      </c>
      <c r="YK16" t="s">
        <v>188</v>
      </c>
      <c r="YL16" t="s">
        <v>188</v>
      </c>
      <c r="YM16" t="s">
        <v>188</v>
      </c>
      <c r="YN16" t="s">
        <v>188</v>
      </c>
      <c r="YO16" t="s">
        <v>188</v>
      </c>
      <c r="YP16" t="s">
        <v>188</v>
      </c>
      <c r="YQ16" t="s">
        <v>188</v>
      </c>
      <c r="YR16" t="s">
        <v>188</v>
      </c>
      <c r="YS16" t="s">
        <v>188</v>
      </c>
      <c r="YT16" t="s">
        <v>188</v>
      </c>
      <c r="YU16" t="s">
        <v>188</v>
      </c>
      <c r="YV16" t="s">
        <v>188</v>
      </c>
      <c r="YW16" t="s">
        <v>188</v>
      </c>
      <c r="YX16" t="s">
        <v>188</v>
      </c>
      <c r="YY16" t="s">
        <v>188</v>
      </c>
      <c r="YZ16" t="s">
        <v>188</v>
      </c>
      <c r="ZA16" t="s">
        <v>188</v>
      </c>
      <c r="ZB16" t="s">
        <v>188</v>
      </c>
      <c r="ZC16" t="s">
        <v>188</v>
      </c>
      <c r="ZD16" t="s">
        <v>188</v>
      </c>
      <c r="ZE16" t="s">
        <v>188</v>
      </c>
      <c r="ZF16" t="s">
        <v>188</v>
      </c>
      <c r="ZG16" t="s">
        <v>188</v>
      </c>
      <c r="ZH16" t="s">
        <v>188</v>
      </c>
      <c r="ZI16" t="s">
        <v>188</v>
      </c>
      <c r="ZJ16" t="s">
        <v>188</v>
      </c>
      <c r="ZK16" t="s">
        <v>188</v>
      </c>
      <c r="ZL16" t="s">
        <v>188</v>
      </c>
      <c r="ZM16" t="s">
        <v>188</v>
      </c>
      <c r="ZN16" t="s">
        <v>188</v>
      </c>
      <c r="ZO16" t="s">
        <v>188</v>
      </c>
      <c r="ZP16" t="s">
        <v>188</v>
      </c>
      <c r="ZQ16" t="s">
        <v>188</v>
      </c>
      <c r="ZR16" t="s">
        <v>188</v>
      </c>
      <c r="ZS16" t="s">
        <v>188</v>
      </c>
      <c r="ZT16" t="s">
        <v>188</v>
      </c>
      <c r="ZU16" t="s">
        <v>188</v>
      </c>
      <c r="ZV16" t="s">
        <v>188</v>
      </c>
      <c r="ZW16" t="s">
        <v>188</v>
      </c>
      <c r="ZX16" t="s">
        <v>188</v>
      </c>
      <c r="ZY16" t="s">
        <v>188</v>
      </c>
      <c r="ZZ16" t="s">
        <v>188</v>
      </c>
      <c r="AAA16" t="s">
        <v>188</v>
      </c>
      <c r="AAB16" t="s">
        <v>188</v>
      </c>
      <c r="AAC16" t="s">
        <v>188</v>
      </c>
      <c r="AAD16" t="s">
        <v>188</v>
      </c>
      <c r="AAE16" t="s">
        <v>188</v>
      </c>
      <c r="AAF16" t="s">
        <v>188</v>
      </c>
      <c r="AAG16" t="s">
        <v>188</v>
      </c>
      <c r="AAH16" t="s">
        <v>188</v>
      </c>
      <c r="AAI16" t="s">
        <v>188</v>
      </c>
      <c r="AAJ16" t="s">
        <v>188</v>
      </c>
      <c r="AAK16" t="s">
        <v>188</v>
      </c>
      <c r="AAL16" t="s">
        <v>188</v>
      </c>
      <c r="AAM16" t="s">
        <v>188</v>
      </c>
      <c r="AAN16" t="s">
        <v>188</v>
      </c>
      <c r="AAO16" t="s">
        <v>188</v>
      </c>
      <c r="AAP16" t="s">
        <v>188</v>
      </c>
      <c r="AAQ16" t="s">
        <v>188</v>
      </c>
      <c r="AAR16" t="s">
        <v>188</v>
      </c>
      <c r="AAS16" t="s">
        <v>188</v>
      </c>
      <c r="AAT16" t="s">
        <v>188</v>
      </c>
      <c r="AAU16" t="s">
        <v>188</v>
      </c>
      <c r="AAV16" t="s">
        <v>188</v>
      </c>
      <c r="AAW16" t="s">
        <v>188</v>
      </c>
      <c r="AAX16" t="s">
        <v>188</v>
      </c>
      <c r="AAY16" t="s">
        <v>188</v>
      </c>
      <c r="AAZ16" t="s">
        <v>188</v>
      </c>
      <c r="ABA16" t="s">
        <v>188</v>
      </c>
      <c r="ABB16" t="s">
        <v>188</v>
      </c>
      <c r="ABC16" t="s">
        <v>188</v>
      </c>
      <c r="ABD16" t="s">
        <v>188</v>
      </c>
      <c r="ABE16" t="s">
        <v>188</v>
      </c>
      <c r="ABF16" t="s">
        <v>188</v>
      </c>
      <c r="ABG16" t="s">
        <v>188</v>
      </c>
      <c r="ABH16" t="s">
        <v>188</v>
      </c>
      <c r="ABI16" t="s">
        <v>188</v>
      </c>
      <c r="ABJ16" t="s">
        <v>188</v>
      </c>
      <c r="ABK16" t="s">
        <v>188</v>
      </c>
      <c r="ABL16" t="s">
        <v>188</v>
      </c>
      <c r="ABM16" t="s">
        <v>188</v>
      </c>
      <c r="ABN16" t="s">
        <v>188</v>
      </c>
      <c r="ABO16" t="s">
        <v>188</v>
      </c>
      <c r="ABP16" t="s">
        <v>188</v>
      </c>
      <c r="ABQ16" t="s">
        <v>188</v>
      </c>
      <c r="ABR16" t="s">
        <v>188</v>
      </c>
      <c r="ABS16" t="s">
        <v>188</v>
      </c>
      <c r="ABT16" t="s">
        <v>188</v>
      </c>
      <c r="ABU16" t="s">
        <v>188</v>
      </c>
      <c r="ABV16" t="s">
        <v>188</v>
      </c>
      <c r="ABW16" t="s">
        <v>188</v>
      </c>
      <c r="ABX16" t="s">
        <v>188</v>
      </c>
      <c r="ABY16" t="s">
        <v>188</v>
      </c>
      <c r="ABZ16" t="s">
        <v>188</v>
      </c>
      <c r="ACA16" t="s">
        <v>188</v>
      </c>
      <c r="ACB16" t="s">
        <v>188</v>
      </c>
      <c r="ACC16" t="s">
        <v>188</v>
      </c>
      <c r="ACD16" t="s">
        <v>188</v>
      </c>
      <c r="ACE16" t="s">
        <v>188</v>
      </c>
      <c r="ACF16" t="s">
        <v>188</v>
      </c>
      <c r="ACG16" t="s">
        <v>188</v>
      </c>
      <c r="ACH16" t="s">
        <v>188</v>
      </c>
      <c r="ACI16" t="s">
        <v>188</v>
      </c>
      <c r="ACJ16" t="s">
        <v>188</v>
      </c>
      <c r="ACK16" t="s">
        <v>188</v>
      </c>
      <c r="ACL16" t="s">
        <v>188</v>
      </c>
      <c r="ACM16" t="s">
        <v>188</v>
      </c>
      <c r="ACN16" t="s">
        <v>188</v>
      </c>
      <c r="ACO16" t="s">
        <v>188</v>
      </c>
      <c r="ACP16" t="s">
        <v>188</v>
      </c>
      <c r="ACQ16" t="s">
        <v>188</v>
      </c>
      <c r="ACR16" t="s">
        <v>188</v>
      </c>
      <c r="ACS16" t="s">
        <v>188</v>
      </c>
      <c r="ACT16" t="s">
        <v>188</v>
      </c>
      <c r="ACU16" t="s">
        <v>188</v>
      </c>
      <c r="ACV16" t="s">
        <v>188</v>
      </c>
      <c r="ACW16" t="s">
        <v>188</v>
      </c>
      <c r="ACX16" t="s">
        <v>188</v>
      </c>
      <c r="ACY16" t="s">
        <v>188</v>
      </c>
      <c r="ACZ16" t="s">
        <v>188</v>
      </c>
      <c r="ADA16" t="s">
        <v>188</v>
      </c>
      <c r="ADB16" t="s">
        <v>188</v>
      </c>
      <c r="ADC16" t="s">
        <v>188</v>
      </c>
      <c r="ADD16" t="s">
        <v>188</v>
      </c>
      <c r="ADE16" t="s">
        <v>188</v>
      </c>
      <c r="ADF16" t="s">
        <v>188</v>
      </c>
      <c r="ADG16" t="s">
        <v>188</v>
      </c>
      <c r="ADH16" t="s">
        <v>188</v>
      </c>
      <c r="ADI16" t="s">
        <v>188</v>
      </c>
      <c r="ADJ16" t="s">
        <v>188</v>
      </c>
      <c r="ADK16" t="s">
        <v>188</v>
      </c>
      <c r="ADL16" t="s">
        <v>188</v>
      </c>
      <c r="ADM16" t="s">
        <v>188</v>
      </c>
      <c r="ADN16" t="s">
        <v>188</v>
      </c>
      <c r="ADO16" t="s">
        <v>188</v>
      </c>
      <c r="ADP16" t="s">
        <v>188</v>
      </c>
      <c r="ADQ16" t="s">
        <v>188</v>
      </c>
      <c r="ADR16" t="s">
        <v>188</v>
      </c>
      <c r="ADS16" t="s">
        <v>188</v>
      </c>
      <c r="ADT16" t="s">
        <v>188</v>
      </c>
      <c r="ADU16" t="s">
        <v>188</v>
      </c>
      <c r="ADV16" t="s">
        <v>188</v>
      </c>
      <c r="ADW16" t="s">
        <v>188</v>
      </c>
      <c r="ADX16" t="s">
        <v>188</v>
      </c>
      <c r="ADY16" t="s">
        <v>188</v>
      </c>
      <c r="ADZ16" t="s">
        <v>188</v>
      </c>
      <c r="AEA16" t="s">
        <v>188</v>
      </c>
      <c r="AEB16" t="s">
        <v>188</v>
      </c>
      <c r="AEC16" t="s">
        <v>188</v>
      </c>
      <c r="AED16" t="s">
        <v>188</v>
      </c>
      <c r="AEE16" t="s">
        <v>188</v>
      </c>
      <c r="AEF16" t="s">
        <v>188</v>
      </c>
      <c r="AEG16" t="s">
        <v>188</v>
      </c>
      <c r="AEH16" t="s">
        <v>188</v>
      </c>
      <c r="AEI16" t="s">
        <v>188</v>
      </c>
      <c r="AEJ16" t="s">
        <v>188</v>
      </c>
      <c r="AEK16" t="s">
        <v>188</v>
      </c>
      <c r="AEL16" t="s">
        <v>188</v>
      </c>
      <c r="AEM16" t="s">
        <v>188</v>
      </c>
      <c r="AEN16" t="s">
        <v>188</v>
      </c>
      <c r="AEO16" t="s">
        <v>188</v>
      </c>
      <c r="AEP16" t="s">
        <v>188</v>
      </c>
      <c r="AEQ16" t="s">
        <v>188</v>
      </c>
      <c r="AER16" t="s">
        <v>188</v>
      </c>
      <c r="AES16" t="s">
        <v>188</v>
      </c>
      <c r="AET16" t="s">
        <v>188</v>
      </c>
      <c r="AEU16" t="s">
        <v>188</v>
      </c>
      <c r="AEV16" t="s">
        <v>188</v>
      </c>
      <c r="AEW16" t="s">
        <v>188</v>
      </c>
      <c r="AEX16" t="s">
        <v>188</v>
      </c>
      <c r="AEY16" t="s">
        <v>188</v>
      </c>
      <c r="AEZ16" t="s">
        <v>188</v>
      </c>
      <c r="AFA16" t="s">
        <v>188</v>
      </c>
      <c r="AFB16" t="s">
        <v>188</v>
      </c>
      <c r="AFC16" t="s">
        <v>188</v>
      </c>
      <c r="AFD16" t="s">
        <v>188</v>
      </c>
      <c r="AFE16" t="s">
        <v>188</v>
      </c>
      <c r="AFF16" t="s">
        <v>188</v>
      </c>
      <c r="AFG16" t="s">
        <v>188</v>
      </c>
      <c r="AFH16" t="s">
        <v>188</v>
      </c>
      <c r="AFI16" t="s">
        <v>188</v>
      </c>
      <c r="AFJ16" t="s">
        <v>188</v>
      </c>
      <c r="AFK16" t="s">
        <v>188</v>
      </c>
      <c r="AFL16" t="s">
        <v>188</v>
      </c>
      <c r="AFM16" t="s">
        <v>188</v>
      </c>
      <c r="AFN16" t="s">
        <v>188</v>
      </c>
      <c r="AFO16" t="s">
        <v>188</v>
      </c>
      <c r="AFP16" t="s">
        <v>188</v>
      </c>
      <c r="AFQ16" t="s">
        <v>188</v>
      </c>
      <c r="AFR16" t="s">
        <v>188</v>
      </c>
      <c r="AFS16" t="s">
        <v>188</v>
      </c>
      <c r="AFT16" t="s">
        <v>188</v>
      </c>
      <c r="AFU16" t="s">
        <v>188</v>
      </c>
      <c r="AFV16" t="s">
        <v>188</v>
      </c>
      <c r="AFW16" t="s">
        <v>188</v>
      </c>
      <c r="AFX16" t="s">
        <v>188</v>
      </c>
      <c r="AFY16" t="s">
        <v>188</v>
      </c>
      <c r="AFZ16" t="s">
        <v>188</v>
      </c>
      <c r="AGA16" t="s">
        <v>188</v>
      </c>
      <c r="AGB16" t="s">
        <v>188</v>
      </c>
      <c r="AGC16" t="s">
        <v>188</v>
      </c>
      <c r="AGD16" t="s">
        <v>188</v>
      </c>
      <c r="AGE16" t="s">
        <v>188</v>
      </c>
      <c r="AGF16" t="s">
        <v>188</v>
      </c>
      <c r="AGG16" t="s">
        <v>188</v>
      </c>
      <c r="AGH16" t="s">
        <v>188</v>
      </c>
      <c r="AGI16" t="s">
        <v>188</v>
      </c>
      <c r="AGJ16" t="s">
        <v>188</v>
      </c>
      <c r="AGK16" t="s">
        <v>188</v>
      </c>
      <c r="AGL16" t="s">
        <v>188</v>
      </c>
      <c r="AGM16" t="s">
        <v>188</v>
      </c>
      <c r="AGN16" t="s">
        <v>188</v>
      </c>
      <c r="AGO16" t="s">
        <v>188</v>
      </c>
      <c r="AGP16" t="s">
        <v>188</v>
      </c>
      <c r="AGQ16" t="s">
        <v>188</v>
      </c>
      <c r="AGR16" t="s">
        <v>188</v>
      </c>
      <c r="AGS16" t="s">
        <v>188</v>
      </c>
      <c r="AGT16" t="s">
        <v>188</v>
      </c>
      <c r="AGU16" t="s">
        <v>188</v>
      </c>
      <c r="AGV16" t="s">
        <v>188</v>
      </c>
      <c r="AGW16" t="s">
        <v>188</v>
      </c>
      <c r="AGX16" t="s">
        <v>188</v>
      </c>
      <c r="AGY16" t="s">
        <v>188</v>
      </c>
      <c r="AGZ16" t="s">
        <v>188</v>
      </c>
      <c r="AHA16" t="s">
        <v>188</v>
      </c>
      <c r="AHB16" t="s">
        <v>188</v>
      </c>
      <c r="AHC16" t="s">
        <v>188</v>
      </c>
      <c r="AHD16" t="s">
        <v>188</v>
      </c>
      <c r="AHE16" t="s">
        <v>188</v>
      </c>
      <c r="AHF16" t="s">
        <v>188</v>
      </c>
      <c r="AHG16" t="s">
        <v>188</v>
      </c>
      <c r="AHH16" t="s">
        <v>188</v>
      </c>
      <c r="AHI16" t="s">
        <v>188</v>
      </c>
      <c r="AHJ16" t="s">
        <v>188</v>
      </c>
      <c r="AHK16" t="s">
        <v>188</v>
      </c>
      <c r="AHL16" t="s">
        <v>188</v>
      </c>
      <c r="AHM16" t="s">
        <v>188</v>
      </c>
      <c r="AHN16" t="s">
        <v>188</v>
      </c>
      <c r="AHO16" t="s">
        <v>188</v>
      </c>
      <c r="AHP16" t="s">
        <v>188</v>
      </c>
      <c r="AHQ16" t="s">
        <v>188</v>
      </c>
      <c r="AHR16" t="s">
        <v>188</v>
      </c>
      <c r="AHS16" t="s">
        <v>188</v>
      </c>
      <c r="AHT16" t="s">
        <v>188</v>
      </c>
      <c r="AHU16" t="s">
        <v>188</v>
      </c>
      <c r="AHV16" t="s">
        <v>188</v>
      </c>
      <c r="AHW16" t="s">
        <v>188</v>
      </c>
      <c r="AHX16" t="s">
        <v>188</v>
      </c>
      <c r="AHY16" t="s">
        <v>188</v>
      </c>
      <c r="AHZ16" t="s">
        <v>188</v>
      </c>
      <c r="AIA16" t="s">
        <v>188</v>
      </c>
      <c r="AIB16" t="s">
        <v>188</v>
      </c>
      <c r="AIC16" t="s">
        <v>188</v>
      </c>
      <c r="AID16" t="s">
        <v>188</v>
      </c>
      <c r="AIE16" t="s">
        <v>188</v>
      </c>
      <c r="AIF16" t="s">
        <v>188</v>
      </c>
      <c r="AIG16" t="s">
        <v>188</v>
      </c>
      <c r="AIH16" t="s">
        <v>188</v>
      </c>
      <c r="AII16" t="s">
        <v>188</v>
      </c>
      <c r="AIJ16" t="s">
        <v>188</v>
      </c>
      <c r="AIK16" t="s">
        <v>188</v>
      </c>
      <c r="AIL16" t="s">
        <v>188</v>
      </c>
      <c r="AIM16" t="s">
        <v>188</v>
      </c>
      <c r="AIN16" t="s">
        <v>188</v>
      </c>
      <c r="AIO16" t="s">
        <v>188</v>
      </c>
      <c r="AIP16" t="s">
        <v>188</v>
      </c>
      <c r="AIQ16" t="s">
        <v>188</v>
      </c>
      <c r="AIR16" t="s">
        <v>188</v>
      </c>
      <c r="AIS16" t="s">
        <v>188</v>
      </c>
      <c r="AIT16" t="s">
        <v>188</v>
      </c>
      <c r="AIU16" t="s">
        <v>188</v>
      </c>
      <c r="AIV16" t="s">
        <v>188</v>
      </c>
      <c r="AIW16" t="s">
        <v>188</v>
      </c>
      <c r="AIX16" t="s">
        <v>188</v>
      </c>
      <c r="AIY16" t="s">
        <v>188</v>
      </c>
      <c r="AIZ16" t="s">
        <v>188</v>
      </c>
      <c r="AJA16" t="s">
        <v>188</v>
      </c>
      <c r="AJB16" t="s">
        <v>188</v>
      </c>
      <c r="AJC16" t="s">
        <v>188</v>
      </c>
      <c r="AJD16" t="s">
        <v>188</v>
      </c>
      <c r="AJE16" t="s">
        <v>188</v>
      </c>
      <c r="AJF16" t="s">
        <v>188</v>
      </c>
      <c r="AJG16" t="s">
        <v>188</v>
      </c>
      <c r="AJH16" t="s">
        <v>188</v>
      </c>
      <c r="AJI16" t="s">
        <v>188</v>
      </c>
      <c r="AJJ16" t="s">
        <v>188</v>
      </c>
      <c r="AJK16" t="s">
        <v>188</v>
      </c>
      <c r="AJL16" t="s">
        <v>188</v>
      </c>
      <c r="AJM16" t="s">
        <v>188</v>
      </c>
      <c r="AJN16" t="s">
        <v>188</v>
      </c>
      <c r="AJO16" t="s">
        <v>188</v>
      </c>
      <c r="AJP16" t="s">
        <v>188</v>
      </c>
      <c r="AJQ16" t="s">
        <v>188</v>
      </c>
      <c r="AJR16" t="s">
        <v>188</v>
      </c>
      <c r="AJS16" t="s">
        <v>188</v>
      </c>
      <c r="AJT16" t="s">
        <v>188</v>
      </c>
      <c r="AJU16" t="s">
        <v>188</v>
      </c>
      <c r="AJV16" t="s">
        <v>188</v>
      </c>
      <c r="AJW16" t="s">
        <v>188</v>
      </c>
      <c r="AJX16" t="s">
        <v>188</v>
      </c>
      <c r="AJY16" t="s">
        <v>188</v>
      </c>
      <c r="AJZ16" t="s">
        <v>188</v>
      </c>
      <c r="AKA16" t="s">
        <v>188</v>
      </c>
      <c r="AKB16" t="s">
        <v>188</v>
      </c>
      <c r="AKC16" t="s">
        <v>188</v>
      </c>
      <c r="AKD16" t="s">
        <v>188</v>
      </c>
      <c r="AKE16" t="s">
        <v>188</v>
      </c>
      <c r="AKF16" t="s">
        <v>188</v>
      </c>
      <c r="AKG16" t="s">
        <v>188</v>
      </c>
      <c r="AKH16" t="s">
        <v>188</v>
      </c>
      <c r="AKI16" t="s">
        <v>188</v>
      </c>
      <c r="AKJ16" t="s">
        <v>188</v>
      </c>
      <c r="AKK16" t="s">
        <v>188</v>
      </c>
      <c r="AKL16" t="s">
        <v>188</v>
      </c>
      <c r="AKM16" t="s">
        <v>188</v>
      </c>
      <c r="AKN16" t="s">
        <v>188</v>
      </c>
      <c r="AKO16" t="s">
        <v>188</v>
      </c>
      <c r="AKP16" t="s">
        <v>188</v>
      </c>
      <c r="AKQ16" t="s">
        <v>188</v>
      </c>
      <c r="AKR16" t="s">
        <v>188</v>
      </c>
      <c r="AKS16" t="s">
        <v>188</v>
      </c>
      <c r="AKT16" t="s">
        <v>188</v>
      </c>
      <c r="AKU16" t="s">
        <v>188</v>
      </c>
      <c r="AKV16" t="s">
        <v>188</v>
      </c>
      <c r="AKW16" t="s">
        <v>188</v>
      </c>
      <c r="AKX16" t="s">
        <v>188</v>
      </c>
      <c r="AKY16" t="s">
        <v>188</v>
      </c>
      <c r="AKZ16" t="s">
        <v>188</v>
      </c>
      <c r="ALA16" t="s">
        <v>188</v>
      </c>
      <c r="ALB16" t="s">
        <v>188</v>
      </c>
      <c r="ALC16" t="s">
        <v>188</v>
      </c>
      <c r="ALD16" t="s">
        <v>188</v>
      </c>
      <c r="ALE16" t="s">
        <v>188</v>
      </c>
      <c r="ALF16" t="s">
        <v>188</v>
      </c>
      <c r="ALG16" t="s">
        <v>188</v>
      </c>
      <c r="ALH16" t="s">
        <v>188</v>
      </c>
      <c r="ALI16" t="s">
        <v>188</v>
      </c>
      <c r="ALJ16" t="s">
        <v>188</v>
      </c>
      <c r="ALK16" t="s">
        <v>188</v>
      </c>
      <c r="ALL16" t="s">
        <v>188</v>
      </c>
      <c r="ALM16" t="s">
        <v>188</v>
      </c>
      <c r="ALN16" t="s">
        <v>188</v>
      </c>
      <c r="ALO16" t="s">
        <v>188</v>
      </c>
      <c r="ALP16" t="s">
        <v>188</v>
      </c>
      <c r="ALQ16" t="s">
        <v>188</v>
      </c>
      <c r="ALR16" t="s">
        <v>188</v>
      </c>
      <c r="ALS16" t="s">
        <v>188</v>
      </c>
      <c r="ALT16" t="s">
        <v>188</v>
      </c>
      <c r="ALU16" t="s">
        <v>188</v>
      </c>
      <c r="ALV16" t="s">
        <v>188</v>
      </c>
      <c r="ALW16" t="s">
        <v>188</v>
      </c>
      <c r="ALX16" t="s">
        <v>188</v>
      </c>
      <c r="ALY16" t="s">
        <v>188</v>
      </c>
      <c r="ALZ16" t="s">
        <v>188</v>
      </c>
      <c r="AMA16" t="s">
        <v>188</v>
      </c>
      <c r="AMB16" t="s">
        <v>188</v>
      </c>
      <c r="AMC16" t="s">
        <v>188</v>
      </c>
      <c r="AMD16" t="s">
        <v>188</v>
      </c>
      <c r="AME16" t="s">
        <v>188</v>
      </c>
      <c r="AMF16" t="s">
        <v>188</v>
      </c>
      <c r="AMG16" t="s">
        <v>188</v>
      </c>
      <c r="AMH16" t="s">
        <v>188</v>
      </c>
      <c r="AMI16" t="s">
        <v>188</v>
      </c>
      <c r="AMJ16" t="s">
        <v>188</v>
      </c>
      <c r="AMK16" t="s">
        <v>188</v>
      </c>
      <c r="AML16" t="s">
        <v>188</v>
      </c>
      <c r="AMM16" t="s">
        <v>188</v>
      </c>
      <c r="AMN16" t="s">
        <v>188</v>
      </c>
      <c r="AMO16" t="s">
        <v>188</v>
      </c>
      <c r="AMP16" t="s">
        <v>188</v>
      </c>
      <c r="AMQ16" t="s">
        <v>188</v>
      </c>
      <c r="AMR16" t="s">
        <v>188</v>
      </c>
      <c r="AMS16" t="s">
        <v>188</v>
      </c>
      <c r="AMT16" t="s">
        <v>188</v>
      </c>
      <c r="AMU16" t="s">
        <v>188</v>
      </c>
      <c r="AMV16" t="s">
        <v>188</v>
      </c>
      <c r="AMW16" t="s">
        <v>188</v>
      </c>
      <c r="AMX16" t="s">
        <v>188</v>
      </c>
      <c r="AMY16" t="s">
        <v>188</v>
      </c>
      <c r="AMZ16" t="s">
        <v>188</v>
      </c>
      <c r="ANA16" t="s">
        <v>188</v>
      </c>
      <c r="ANB16" t="s">
        <v>188</v>
      </c>
      <c r="ANC16" t="s">
        <v>188</v>
      </c>
      <c r="AND16" t="s">
        <v>188</v>
      </c>
      <c r="ANE16" t="s">
        <v>188</v>
      </c>
      <c r="ANF16" t="s">
        <v>188</v>
      </c>
      <c r="ANG16" t="s">
        <v>188</v>
      </c>
      <c r="ANH16" t="s">
        <v>188</v>
      </c>
      <c r="ANI16" t="s">
        <v>188</v>
      </c>
      <c r="ANJ16" t="s">
        <v>188</v>
      </c>
      <c r="ANK16" t="s">
        <v>188</v>
      </c>
      <c r="ANL16" t="s">
        <v>188</v>
      </c>
      <c r="ANM16" t="s">
        <v>188</v>
      </c>
      <c r="ANN16" t="s">
        <v>188</v>
      </c>
      <c r="ANO16" t="s">
        <v>188</v>
      </c>
      <c r="ANP16" t="s">
        <v>188</v>
      </c>
      <c r="ANQ16" t="s">
        <v>188</v>
      </c>
      <c r="ANR16" t="s">
        <v>188</v>
      </c>
      <c r="ANS16" t="s">
        <v>188</v>
      </c>
      <c r="ANT16" t="s">
        <v>188</v>
      </c>
      <c r="ANU16" t="s">
        <v>188</v>
      </c>
      <c r="ANV16" t="s">
        <v>188</v>
      </c>
      <c r="ANW16" t="s">
        <v>188</v>
      </c>
      <c r="ANX16" t="s">
        <v>188</v>
      </c>
      <c r="ANY16" t="s">
        <v>188</v>
      </c>
      <c r="ANZ16" t="s">
        <v>188</v>
      </c>
      <c r="AOA16" t="s">
        <v>188</v>
      </c>
      <c r="AOB16" t="s">
        <v>188</v>
      </c>
      <c r="AOC16" t="s">
        <v>188</v>
      </c>
      <c r="AOD16" t="s">
        <v>188</v>
      </c>
      <c r="AOE16" t="s">
        <v>188</v>
      </c>
      <c r="AOF16" t="s">
        <v>188</v>
      </c>
      <c r="AOG16" t="s">
        <v>188</v>
      </c>
      <c r="AOH16" t="s">
        <v>188</v>
      </c>
      <c r="AOI16" t="s">
        <v>188</v>
      </c>
      <c r="AOJ16" t="s">
        <v>188</v>
      </c>
      <c r="AOK16" t="s">
        <v>188</v>
      </c>
      <c r="AOL16" t="s">
        <v>188</v>
      </c>
      <c r="AOM16" t="s">
        <v>188</v>
      </c>
      <c r="AON16" t="s">
        <v>188</v>
      </c>
      <c r="AOO16" t="s">
        <v>188</v>
      </c>
      <c r="AOP16" t="s">
        <v>188</v>
      </c>
      <c r="AOQ16" t="s">
        <v>188</v>
      </c>
      <c r="AOR16" t="s">
        <v>188</v>
      </c>
      <c r="AOS16" t="s">
        <v>188</v>
      </c>
      <c r="AOT16" t="s">
        <v>188</v>
      </c>
      <c r="AOU16" t="s">
        <v>188</v>
      </c>
      <c r="AOV16" t="s">
        <v>188</v>
      </c>
      <c r="AOW16" t="s">
        <v>188</v>
      </c>
      <c r="AOX16" t="s">
        <v>188</v>
      </c>
      <c r="AOY16" t="s">
        <v>188</v>
      </c>
      <c r="AOZ16" t="s">
        <v>188</v>
      </c>
      <c r="APA16" t="s">
        <v>188</v>
      </c>
      <c r="APB16" t="s">
        <v>188</v>
      </c>
      <c r="APC16" t="s">
        <v>188</v>
      </c>
      <c r="APD16" t="s">
        <v>188</v>
      </c>
      <c r="APE16" t="s">
        <v>188</v>
      </c>
      <c r="APF16" t="s">
        <v>188</v>
      </c>
      <c r="APG16" t="s">
        <v>188</v>
      </c>
      <c r="APH16" t="s">
        <v>188</v>
      </c>
      <c r="API16" t="s">
        <v>188</v>
      </c>
      <c r="APJ16" t="s">
        <v>188</v>
      </c>
      <c r="APK16" t="s">
        <v>188</v>
      </c>
      <c r="APL16" t="s">
        <v>188</v>
      </c>
      <c r="APM16" t="s">
        <v>188</v>
      </c>
      <c r="APN16" t="s">
        <v>188</v>
      </c>
      <c r="APO16" t="s">
        <v>188</v>
      </c>
      <c r="APP16" t="s">
        <v>188</v>
      </c>
      <c r="APQ16" t="s">
        <v>188</v>
      </c>
      <c r="APR16" t="s">
        <v>188</v>
      </c>
      <c r="APS16" t="s">
        <v>188</v>
      </c>
      <c r="APT16" t="s">
        <v>188</v>
      </c>
      <c r="APU16" t="s">
        <v>188</v>
      </c>
      <c r="APV16" t="s">
        <v>188</v>
      </c>
      <c r="APW16" t="s">
        <v>188</v>
      </c>
      <c r="APX16" t="s">
        <v>188</v>
      </c>
      <c r="APY16" t="s">
        <v>188</v>
      </c>
      <c r="APZ16" t="s">
        <v>188</v>
      </c>
      <c r="AQA16" t="s">
        <v>188</v>
      </c>
      <c r="AQB16" t="s">
        <v>188</v>
      </c>
      <c r="AQC16" t="s">
        <v>188</v>
      </c>
      <c r="AQD16" t="s">
        <v>188</v>
      </c>
      <c r="AQE16" t="s">
        <v>188</v>
      </c>
      <c r="AQF16" t="s">
        <v>188</v>
      </c>
      <c r="AQG16" t="s">
        <v>188</v>
      </c>
      <c r="AQH16" t="s">
        <v>188</v>
      </c>
      <c r="AQI16" t="s">
        <v>188</v>
      </c>
      <c r="AQJ16" t="s">
        <v>188</v>
      </c>
      <c r="AQK16" t="s">
        <v>188</v>
      </c>
      <c r="AQL16" t="s">
        <v>188</v>
      </c>
      <c r="AQM16" t="s">
        <v>188</v>
      </c>
      <c r="AQN16" t="s">
        <v>188</v>
      </c>
      <c r="AQO16" t="s">
        <v>188</v>
      </c>
      <c r="AQP16" t="s">
        <v>188</v>
      </c>
      <c r="AQQ16" t="s">
        <v>188</v>
      </c>
      <c r="AQR16" t="s">
        <v>188</v>
      </c>
      <c r="AQS16" t="s">
        <v>188</v>
      </c>
      <c r="AQT16" t="s">
        <v>188</v>
      </c>
      <c r="AQU16" t="s">
        <v>188</v>
      </c>
      <c r="AQV16" t="s">
        <v>188</v>
      </c>
      <c r="AQW16" t="s">
        <v>188</v>
      </c>
      <c r="AQX16" t="s">
        <v>188</v>
      </c>
      <c r="AQY16" t="s">
        <v>188</v>
      </c>
      <c r="AQZ16" t="s">
        <v>188</v>
      </c>
      <c r="ARA16" t="s">
        <v>188</v>
      </c>
      <c r="ARB16" t="s">
        <v>188</v>
      </c>
      <c r="ARC16" t="s">
        <v>188</v>
      </c>
      <c r="ARD16" t="s">
        <v>188</v>
      </c>
      <c r="ARE16" t="s">
        <v>188</v>
      </c>
      <c r="ARF16" t="s">
        <v>188</v>
      </c>
      <c r="ARG16" t="s">
        <v>188</v>
      </c>
      <c r="ARH16" t="s">
        <v>188</v>
      </c>
      <c r="ARI16" t="s">
        <v>188</v>
      </c>
      <c r="ARJ16" t="s">
        <v>188</v>
      </c>
      <c r="ARK16" t="s">
        <v>188</v>
      </c>
      <c r="ARL16" t="s">
        <v>188</v>
      </c>
      <c r="ARM16" t="s">
        <v>188</v>
      </c>
      <c r="ARN16" t="s">
        <v>188</v>
      </c>
      <c r="ARO16" t="s">
        <v>188</v>
      </c>
      <c r="ARP16" t="s">
        <v>188</v>
      </c>
      <c r="ARQ16" t="s">
        <v>188</v>
      </c>
      <c r="ARR16" t="s">
        <v>188</v>
      </c>
      <c r="ARS16" t="s">
        <v>188</v>
      </c>
      <c r="ART16" t="s">
        <v>188</v>
      </c>
      <c r="ARU16" t="s">
        <v>188</v>
      </c>
      <c r="ARV16" t="s">
        <v>188</v>
      </c>
      <c r="ARW16" t="s">
        <v>188</v>
      </c>
      <c r="ARX16" t="s">
        <v>188</v>
      </c>
      <c r="ARY16" t="s">
        <v>188</v>
      </c>
      <c r="ARZ16" t="s">
        <v>188</v>
      </c>
      <c r="ASA16" t="s">
        <v>188</v>
      </c>
      <c r="ASB16" t="s">
        <v>188</v>
      </c>
      <c r="ASC16" t="s">
        <v>188</v>
      </c>
      <c r="ASD16" t="s">
        <v>188</v>
      </c>
      <c r="ASE16" t="s">
        <v>188</v>
      </c>
      <c r="ASF16" t="s">
        <v>188</v>
      </c>
      <c r="ASG16" t="s">
        <v>188</v>
      </c>
      <c r="ASH16" t="s">
        <v>188</v>
      </c>
      <c r="ASI16" t="s">
        <v>188</v>
      </c>
      <c r="ASJ16" t="s">
        <v>188</v>
      </c>
      <c r="ASK16" t="s">
        <v>188</v>
      </c>
      <c r="ASL16" t="s">
        <v>188</v>
      </c>
      <c r="ASM16" t="s">
        <v>188</v>
      </c>
      <c r="ASN16" t="s">
        <v>188</v>
      </c>
      <c r="ASO16" t="s">
        <v>188</v>
      </c>
      <c r="ASP16" t="s">
        <v>188</v>
      </c>
      <c r="ASQ16" t="s">
        <v>188</v>
      </c>
      <c r="ASR16" t="s">
        <v>188</v>
      </c>
      <c r="ASS16" t="s">
        <v>188</v>
      </c>
      <c r="AST16" t="s">
        <v>188</v>
      </c>
      <c r="ASU16" t="s">
        <v>188</v>
      </c>
      <c r="ASV16" t="s">
        <v>188</v>
      </c>
      <c r="ASW16" t="s">
        <v>188</v>
      </c>
      <c r="ASX16" t="s">
        <v>188</v>
      </c>
      <c r="ASY16" t="s">
        <v>188</v>
      </c>
      <c r="ASZ16" t="s">
        <v>188</v>
      </c>
      <c r="ATA16" t="s">
        <v>188</v>
      </c>
      <c r="ATB16" t="s">
        <v>188</v>
      </c>
      <c r="ATC16" t="s">
        <v>188</v>
      </c>
      <c r="ATD16" t="s">
        <v>188</v>
      </c>
      <c r="ATE16" t="s">
        <v>188</v>
      </c>
      <c r="ATF16" t="s">
        <v>188</v>
      </c>
      <c r="ATG16" t="s">
        <v>188</v>
      </c>
      <c r="ATH16" t="s">
        <v>188</v>
      </c>
      <c r="ATI16" t="s">
        <v>188</v>
      </c>
      <c r="ATJ16" t="s">
        <v>188</v>
      </c>
      <c r="ATK16" t="s">
        <v>188</v>
      </c>
      <c r="ATL16" t="s">
        <v>188</v>
      </c>
      <c r="ATM16" t="s">
        <v>188</v>
      </c>
      <c r="ATN16" t="s">
        <v>188</v>
      </c>
      <c r="ATO16" t="s">
        <v>188</v>
      </c>
      <c r="ATP16" t="s">
        <v>188</v>
      </c>
      <c r="ATQ16" t="s">
        <v>188</v>
      </c>
      <c r="ATR16" t="s">
        <v>188</v>
      </c>
      <c r="ATS16" t="s">
        <v>188</v>
      </c>
      <c r="ATT16" t="s">
        <v>188</v>
      </c>
      <c r="ATU16" t="s">
        <v>188</v>
      </c>
      <c r="ATV16" t="s">
        <v>188</v>
      </c>
      <c r="ATW16" t="s">
        <v>188</v>
      </c>
      <c r="ATX16" t="s">
        <v>188</v>
      </c>
      <c r="ATY16" t="s">
        <v>188</v>
      </c>
      <c r="ATZ16" t="s">
        <v>188</v>
      </c>
      <c r="AUA16" t="s">
        <v>188</v>
      </c>
      <c r="AUB16" t="s">
        <v>188</v>
      </c>
      <c r="AUC16" t="s">
        <v>188</v>
      </c>
      <c r="AUD16" t="s">
        <v>188</v>
      </c>
      <c r="AUE16" t="s">
        <v>188</v>
      </c>
      <c r="AUF16" t="s">
        <v>188</v>
      </c>
      <c r="AUG16" t="s">
        <v>188</v>
      </c>
      <c r="AUH16" t="s">
        <v>188</v>
      </c>
      <c r="AUI16" t="s">
        <v>188</v>
      </c>
      <c r="AUJ16" t="s">
        <v>188</v>
      </c>
      <c r="AUK16" t="s">
        <v>188</v>
      </c>
      <c r="AUL16" t="s">
        <v>188</v>
      </c>
      <c r="AUM16" t="s">
        <v>188</v>
      </c>
      <c r="AUN16" t="s">
        <v>188</v>
      </c>
      <c r="AUO16" t="s">
        <v>188</v>
      </c>
      <c r="AUP16" t="s">
        <v>188</v>
      </c>
      <c r="AUQ16" t="s">
        <v>188</v>
      </c>
      <c r="AUR16" t="s">
        <v>188</v>
      </c>
      <c r="AUS16" t="s">
        <v>188</v>
      </c>
      <c r="AUT16" t="s">
        <v>188</v>
      </c>
      <c r="AUU16" t="s">
        <v>188</v>
      </c>
      <c r="AUV16" t="s">
        <v>188</v>
      </c>
      <c r="AUW16" t="s">
        <v>188</v>
      </c>
      <c r="AUX16" t="s">
        <v>188</v>
      </c>
      <c r="AUY16" t="s">
        <v>188</v>
      </c>
      <c r="AUZ16" t="s">
        <v>188</v>
      </c>
      <c r="AVA16" t="s">
        <v>188</v>
      </c>
      <c r="AVB16" t="s">
        <v>188</v>
      </c>
      <c r="AVC16" t="s">
        <v>188</v>
      </c>
      <c r="AVD16" t="s">
        <v>188</v>
      </c>
      <c r="AVE16" t="s">
        <v>188</v>
      </c>
      <c r="AVF16" t="s">
        <v>188</v>
      </c>
      <c r="AVG16" t="s">
        <v>188</v>
      </c>
      <c r="AVH16" t="s">
        <v>188</v>
      </c>
      <c r="AVI16" t="s">
        <v>188</v>
      </c>
      <c r="AVJ16" t="s">
        <v>188</v>
      </c>
      <c r="AVK16" t="s">
        <v>188</v>
      </c>
      <c r="AVL16" t="s">
        <v>188</v>
      </c>
      <c r="AVM16" t="s">
        <v>188</v>
      </c>
      <c r="AVN16" t="s">
        <v>188</v>
      </c>
      <c r="AVO16" t="s">
        <v>188</v>
      </c>
      <c r="AVP16" t="s">
        <v>188</v>
      </c>
      <c r="AVQ16" t="s">
        <v>188</v>
      </c>
      <c r="AVR16" t="s">
        <v>188</v>
      </c>
      <c r="AVS16" t="s">
        <v>188</v>
      </c>
      <c r="AVT16" t="s">
        <v>188</v>
      </c>
      <c r="AVU16" t="s">
        <v>188</v>
      </c>
      <c r="AVV16" t="s">
        <v>188</v>
      </c>
      <c r="AVW16" t="s">
        <v>188</v>
      </c>
      <c r="AVX16" t="s">
        <v>188</v>
      </c>
      <c r="AVY16" t="s">
        <v>188</v>
      </c>
      <c r="AVZ16" t="s">
        <v>188</v>
      </c>
      <c r="AWA16" t="s">
        <v>188</v>
      </c>
      <c r="AWB16" t="s">
        <v>188</v>
      </c>
      <c r="AWC16" t="s">
        <v>188</v>
      </c>
      <c r="AWD16" t="s">
        <v>188</v>
      </c>
      <c r="AWE16" t="s">
        <v>188</v>
      </c>
      <c r="AWF16" t="s">
        <v>188</v>
      </c>
      <c r="AWG16" t="s">
        <v>188</v>
      </c>
      <c r="AWH16" t="s">
        <v>188</v>
      </c>
      <c r="AWI16" t="s">
        <v>188</v>
      </c>
      <c r="AWJ16" t="s">
        <v>188</v>
      </c>
      <c r="AWK16" t="s">
        <v>188</v>
      </c>
      <c r="AWL16" t="s">
        <v>188</v>
      </c>
      <c r="AWM16" t="s">
        <v>188</v>
      </c>
      <c r="AWN16" t="s">
        <v>188</v>
      </c>
      <c r="AWO16" t="s">
        <v>188</v>
      </c>
      <c r="AWP16" t="s">
        <v>188</v>
      </c>
      <c r="AWQ16" t="s">
        <v>188</v>
      </c>
      <c r="AWR16" t="s">
        <v>188</v>
      </c>
      <c r="AWS16" t="s">
        <v>188</v>
      </c>
      <c r="AWT16" t="s">
        <v>188</v>
      </c>
      <c r="AWU16" t="s">
        <v>188</v>
      </c>
      <c r="AWV16" t="s">
        <v>188</v>
      </c>
      <c r="AWW16" t="s">
        <v>188</v>
      </c>
      <c r="AWX16" t="s">
        <v>188</v>
      </c>
      <c r="AWY16" t="s">
        <v>188</v>
      </c>
      <c r="AWZ16" t="s">
        <v>188</v>
      </c>
      <c r="AXA16" t="s">
        <v>188</v>
      </c>
      <c r="AXB16" t="s">
        <v>188</v>
      </c>
      <c r="AXC16" t="s">
        <v>188</v>
      </c>
      <c r="AXD16" t="s">
        <v>188</v>
      </c>
      <c r="AXE16" t="s">
        <v>188</v>
      </c>
      <c r="AXF16" t="s">
        <v>188</v>
      </c>
      <c r="AXG16" t="s">
        <v>188</v>
      </c>
      <c r="AXH16" t="s">
        <v>188</v>
      </c>
      <c r="AXI16" t="s">
        <v>188</v>
      </c>
      <c r="AXJ16" t="s">
        <v>188</v>
      </c>
      <c r="AXK16" t="s">
        <v>188</v>
      </c>
      <c r="AXL16" t="s">
        <v>188</v>
      </c>
      <c r="AXM16" t="s">
        <v>188</v>
      </c>
      <c r="AXN16" t="s">
        <v>188</v>
      </c>
      <c r="AXO16" t="s">
        <v>188</v>
      </c>
      <c r="AXP16" t="s">
        <v>188</v>
      </c>
      <c r="AXQ16" t="s">
        <v>188</v>
      </c>
      <c r="AXR16" t="s">
        <v>188</v>
      </c>
      <c r="AXS16" t="s">
        <v>188</v>
      </c>
      <c r="AXT16" t="s">
        <v>188</v>
      </c>
      <c r="AXU16" t="s">
        <v>188</v>
      </c>
      <c r="AXV16" t="s">
        <v>188</v>
      </c>
      <c r="AXW16" t="s">
        <v>188</v>
      </c>
      <c r="AXX16" t="s">
        <v>188</v>
      </c>
      <c r="AXY16" t="s">
        <v>188</v>
      </c>
      <c r="AXZ16" t="s">
        <v>188</v>
      </c>
      <c r="AYA16" t="s">
        <v>188</v>
      </c>
      <c r="AYB16" t="s">
        <v>188</v>
      </c>
      <c r="AYC16" t="s">
        <v>188</v>
      </c>
      <c r="AYD16" t="s">
        <v>188</v>
      </c>
      <c r="AYE16" t="s">
        <v>188</v>
      </c>
      <c r="AYF16" t="s">
        <v>188</v>
      </c>
      <c r="AYG16" t="s">
        <v>188</v>
      </c>
      <c r="AYH16" t="s">
        <v>188</v>
      </c>
      <c r="AYI16" t="s">
        <v>188</v>
      </c>
      <c r="AYJ16" t="s">
        <v>188</v>
      </c>
      <c r="AYK16" t="s">
        <v>188</v>
      </c>
      <c r="AYL16" t="s">
        <v>188</v>
      </c>
      <c r="AYM16" t="s">
        <v>188</v>
      </c>
      <c r="AYN16" t="s">
        <v>188</v>
      </c>
      <c r="AYO16" t="s">
        <v>188</v>
      </c>
      <c r="AYP16" t="s">
        <v>188</v>
      </c>
      <c r="AYQ16" t="s">
        <v>188</v>
      </c>
      <c r="AYR16" t="s">
        <v>188</v>
      </c>
      <c r="AYS16" t="s">
        <v>188</v>
      </c>
      <c r="AYT16" t="s">
        <v>188</v>
      </c>
      <c r="AYU16" t="s">
        <v>188</v>
      </c>
      <c r="AYV16" t="s">
        <v>188</v>
      </c>
      <c r="AYW16" t="s">
        <v>188</v>
      </c>
      <c r="AYX16" t="s">
        <v>188</v>
      </c>
      <c r="AYY16" t="s">
        <v>188</v>
      </c>
      <c r="AYZ16" t="s">
        <v>188</v>
      </c>
      <c r="AZA16" t="s">
        <v>188</v>
      </c>
      <c r="AZB16" t="s">
        <v>188</v>
      </c>
      <c r="AZC16" t="s">
        <v>188</v>
      </c>
      <c r="AZD16" t="s">
        <v>188</v>
      </c>
      <c r="AZE16" t="s">
        <v>188</v>
      </c>
      <c r="AZF16" t="s">
        <v>188</v>
      </c>
      <c r="AZG16" t="s">
        <v>188</v>
      </c>
      <c r="AZH16" t="s">
        <v>188</v>
      </c>
      <c r="AZI16" t="s">
        <v>188</v>
      </c>
      <c r="AZJ16" t="s">
        <v>188</v>
      </c>
      <c r="AZK16" t="s">
        <v>188</v>
      </c>
      <c r="AZL16" t="s">
        <v>188</v>
      </c>
      <c r="AZM16" t="s">
        <v>188</v>
      </c>
      <c r="AZN16" t="s">
        <v>188</v>
      </c>
      <c r="AZO16" t="s">
        <v>188</v>
      </c>
      <c r="AZP16" t="s">
        <v>188</v>
      </c>
      <c r="AZQ16" t="s">
        <v>188</v>
      </c>
      <c r="AZR16" t="s">
        <v>188</v>
      </c>
      <c r="AZS16" t="s">
        <v>188</v>
      </c>
      <c r="AZT16" t="s">
        <v>188</v>
      </c>
      <c r="AZU16" t="s">
        <v>188</v>
      </c>
      <c r="AZV16" t="s">
        <v>188</v>
      </c>
      <c r="AZW16" t="s">
        <v>188</v>
      </c>
      <c r="AZX16" t="s">
        <v>188</v>
      </c>
      <c r="AZY16" t="s">
        <v>188</v>
      </c>
      <c r="AZZ16" t="s">
        <v>188</v>
      </c>
      <c r="BAA16" t="s">
        <v>188</v>
      </c>
      <c r="BAB16" t="s">
        <v>188</v>
      </c>
      <c r="BAC16" t="s">
        <v>188</v>
      </c>
      <c r="BAD16" t="s">
        <v>188</v>
      </c>
      <c r="BAE16" t="s">
        <v>188</v>
      </c>
      <c r="BAF16" t="s">
        <v>188</v>
      </c>
      <c r="BAG16" t="s">
        <v>188</v>
      </c>
      <c r="BAH16" t="s">
        <v>188</v>
      </c>
      <c r="BAI16" t="s">
        <v>188</v>
      </c>
      <c r="BAJ16" t="s">
        <v>188</v>
      </c>
      <c r="BAK16" t="s">
        <v>188</v>
      </c>
      <c r="BAL16" t="s">
        <v>188</v>
      </c>
      <c r="BAM16" t="s">
        <v>188</v>
      </c>
      <c r="BAN16" t="s">
        <v>188</v>
      </c>
      <c r="BAO16" t="s">
        <v>188</v>
      </c>
      <c r="BAP16" t="s">
        <v>188</v>
      </c>
      <c r="BAQ16" t="s">
        <v>188</v>
      </c>
      <c r="BAR16" t="s">
        <v>188</v>
      </c>
      <c r="BAS16" t="s">
        <v>188</v>
      </c>
      <c r="BAT16" t="s">
        <v>188</v>
      </c>
      <c r="BAU16" t="s">
        <v>188</v>
      </c>
      <c r="BAV16" t="s">
        <v>188</v>
      </c>
      <c r="BAW16" t="s">
        <v>188</v>
      </c>
      <c r="BAX16" t="s">
        <v>188</v>
      </c>
      <c r="BAY16" t="s">
        <v>188</v>
      </c>
      <c r="BAZ16" t="s">
        <v>188</v>
      </c>
      <c r="BBA16" t="s">
        <v>188</v>
      </c>
      <c r="BBB16" t="s">
        <v>188</v>
      </c>
      <c r="BBC16" t="s">
        <v>188</v>
      </c>
      <c r="BBD16" t="s">
        <v>188</v>
      </c>
      <c r="BBE16" t="s">
        <v>188</v>
      </c>
      <c r="BBF16" t="s">
        <v>188</v>
      </c>
      <c r="BBG16" t="s">
        <v>188</v>
      </c>
      <c r="BBH16" t="s">
        <v>188</v>
      </c>
      <c r="BBI16" t="s">
        <v>188</v>
      </c>
      <c r="BBJ16" t="s">
        <v>188</v>
      </c>
      <c r="BBK16" t="s">
        <v>188</v>
      </c>
      <c r="BBL16" t="s">
        <v>188</v>
      </c>
      <c r="BBM16" t="s">
        <v>188</v>
      </c>
      <c r="BBN16" t="s">
        <v>188</v>
      </c>
      <c r="BBO16" t="s">
        <v>188</v>
      </c>
      <c r="BBP16" t="s">
        <v>188</v>
      </c>
      <c r="BBQ16" t="s">
        <v>188</v>
      </c>
      <c r="BBR16" t="s">
        <v>188</v>
      </c>
      <c r="BBS16" t="s">
        <v>188</v>
      </c>
      <c r="BBT16" t="s">
        <v>188</v>
      </c>
      <c r="BBU16" t="s">
        <v>188</v>
      </c>
      <c r="BBV16" t="s">
        <v>188</v>
      </c>
      <c r="BBW16" t="s">
        <v>188</v>
      </c>
      <c r="BBX16" t="s">
        <v>188</v>
      </c>
      <c r="BBY16" t="s">
        <v>188</v>
      </c>
      <c r="BBZ16" t="s">
        <v>188</v>
      </c>
      <c r="BCA16" t="s">
        <v>188</v>
      </c>
      <c r="BCB16" t="s">
        <v>188</v>
      </c>
      <c r="BCC16" t="s">
        <v>188</v>
      </c>
      <c r="BCD16" t="s">
        <v>188</v>
      </c>
      <c r="BCE16" t="s">
        <v>188</v>
      </c>
      <c r="BCF16" t="s">
        <v>188</v>
      </c>
      <c r="BCG16" t="s">
        <v>188</v>
      </c>
      <c r="BCH16" t="s">
        <v>188</v>
      </c>
      <c r="BCI16" t="s">
        <v>188</v>
      </c>
      <c r="BCJ16" t="s">
        <v>188</v>
      </c>
      <c r="BCK16" t="s">
        <v>188</v>
      </c>
      <c r="BCL16" t="s">
        <v>188</v>
      </c>
      <c r="BCM16" t="s">
        <v>188</v>
      </c>
      <c r="BCN16" t="s">
        <v>188</v>
      </c>
      <c r="BCO16" t="s">
        <v>188</v>
      </c>
      <c r="BCP16" t="s">
        <v>188</v>
      </c>
      <c r="BCQ16" t="s">
        <v>188</v>
      </c>
      <c r="BCR16" t="s">
        <v>188</v>
      </c>
      <c r="BCS16" t="s">
        <v>188</v>
      </c>
      <c r="BCT16" t="s">
        <v>188</v>
      </c>
      <c r="BCU16" t="s">
        <v>188</v>
      </c>
      <c r="BCV16" t="s">
        <v>188</v>
      </c>
      <c r="BCW16" t="s">
        <v>188</v>
      </c>
      <c r="BCX16" t="s">
        <v>188</v>
      </c>
      <c r="BCY16" t="s">
        <v>188</v>
      </c>
      <c r="BCZ16" t="s">
        <v>188</v>
      </c>
      <c r="BDA16" t="s">
        <v>188</v>
      </c>
      <c r="BDB16" t="s">
        <v>188</v>
      </c>
      <c r="BDC16" t="s">
        <v>188</v>
      </c>
      <c r="BDD16" t="s">
        <v>188</v>
      </c>
      <c r="BDE16" t="s">
        <v>188</v>
      </c>
      <c r="BDF16" t="s">
        <v>188</v>
      </c>
      <c r="BDG16" t="s">
        <v>188</v>
      </c>
      <c r="BDH16" t="s">
        <v>188</v>
      </c>
      <c r="BDI16" t="s">
        <v>188</v>
      </c>
      <c r="BDJ16" t="s">
        <v>188</v>
      </c>
      <c r="BDK16" t="s">
        <v>188</v>
      </c>
      <c r="BDL16" t="s">
        <v>188</v>
      </c>
      <c r="BDM16" t="s">
        <v>188</v>
      </c>
      <c r="BDN16" t="s">
        <v>188</v>
      </c>
      <c r="BDO16" t="s">
        <v>188</v>
      </c>
      <c r="BDP16" t="s">
        <v>188</v>
      </c>
      <c r="BDQ16" t="s">
        <v>188</v>
      </c>
      <c r="BDR16" t="s">
        <v>188</v>
      </c>
      <c r="BDS16" t="s">
        <v>188</v>
      </c>
      <c r="BDT16" t="s">
        <v>188</v>
      </c>
      <c r="BDU16" t="s">
        <v>188</v>
      </c>
      <c r="BDV16" t="s">
        <v>188</v>
      </c>
      <c r="BDW16" t="s">
        <v>188</v>
      </c>
      <c r="BDX16" t="s">
        <v>188</v>
      </c>
      <c r="BDY16" t="s">
        <v>188</v>
      </c>
      <c r="BDZ16" t="s">
        <v>188</v>
      </c>
      <c r="BEA16" t="s">
        <v>188</v>
      </c>
      <c r="BEB16" t="s">
        <v>188</v>
      </c>
      <c r="BEC16" t="s">
        <v>188</v>
      </c>
      <c r="BED16" t="s">
        <v>188</v>
      </c>
      <c r="BEE16" t="s">
        <v>188</v>
      </c>
      <c r="BEF16" t="s">
        <v>188</v>
      </c>
      <c r="BEG16" t="s">
        <v>188</v>
      </c>
      <c r="BEH16" t="s">
        <v>188</v>
      </c>
      <c r="BEI16" t="s">
        <v>188</v>
      </c>
      <c r="BEJ16" t="s">
        <v>188</v>
      </c>
      <c r="BEK16" t="s">
        <v>188</v>
      </c>
      <c r="BEL16" t="s">
        <v>188</v>
      </c>
      <c r="BEM16" t="s">
        <v>188</v>
      </c>
      <c r="BEN16" t="s">
        <v>188</v>
      </c>
      <c r="BEO16" t="s">
        <v>188</v>
      </c>
      <c r="BEP16" t="s">
        <v>188</v>
      </c>
      <c r="BEQ16" t="s">
        <v>188</v>
      </c>
      <c r="BER16" t="s">
        <v>188</v>
      </c>
      <c r="BES16" t="s">
        <v>188</v>
      </c>
      <c r="BET16" t="s">
        <v>188</v>
      </c>
      <c r="BEU16" t="s">
        <v>188</v>
      </c>
      <c r="BEV16" t="s">
        <v>188</v>
      </c>
      <c r="BEW16" t="s">
        <v>188</v>
      </c>
      <c r="BEX16" t="s">
        <v>188</v>
      </c>
      <c r="BEY16" t="s">
        <v>188</v>
      </c>
      <c r="BEZ16" t="s">
        <v>188</v>
      </c>
      <c r="BFA16" t="s">
        <v>188</v>
      </c>
      <c r="BFB16" t="s">
        <v>188</v>
      </c>
      <c r="BFC16" t="s">
        <v>188</v>
      </c>
      <c r="BFD16" t="s">
        <v>188</v>
      </c>
      <c r="BFE16" t="s">
        <v>188</v>
      </c>
      <c r="BFF16" t="s">
        <v>188</v>
      </c>
      <c r="BFG16" t="s">
        <v>188</v>
      </c>
      <c r="BFH16" t="s">
        <v>188</v>
      </c>
      <c r="BFI16" t="s">
        <v>188</v>
      </c>
      <c r="BFJ16" t="s">
        <v>188</v>
      </c>
      <c r="BFK16" t="s">
        <v>188</v>
      </c>
      <c r="BFL16" t="s">
        <v>188</v>
      </c>
      <c r="BFM16" t="s">
        <v>188</v>
      </c>
      <c r="BFN16" t="s">
        <v>188</v>
      </c>
      <c r="BFO16" t="s">
        <v>188</v>
      </c>
      <c r="BFP16" t="s">
        <v>188</v>
      </c>
      <c r="BFQ16" t="s">
        <v>188</v>
      </c>
      <c r="BFR16" t="s">
        <v>188</v>
      </c>
      <c r="BFS16" t="s">
        <v>188</v>
      </c>
      <c r="BFT16" t="s">
        <v>188</v>
      </c>
      <c r="BFU16" t="s">
        <v>188</v>
      </c>
      <c r="BFV16" t="s">
        <v>188</v>
      </c>
      <c r="BFW16" t="s">
        <v>188</v>
      </c>
      <c r="BFX16" t="s">
        <v>188</v>
      </c>
      <c r="BFY16" t="s">
        <v>188</v>
      </c>
      <c r="BFZ16" t="s">
        <v>188</v>
      </c>
      <c r="BGA16" t="s">
        <v>188</v>
      </c>
      <c r="BGB16" t="s">
        <v>188</v>
      </c>
      <c r="BGC16" t="s">
        <v>188</v>
      </c>
      <c r="BGD16" t="s">
        <v>188</v>
      </c>
      <c r="BGE16" t="s">
        <v>188</v>
      </c>
      <c r="BGF16" t="s">
        <v>188</v>
      </c>
      <c r="BGG16" t="s">
        <v>188</v>
      </c>
      <c r="BGH16" t="s">
        <v>188</v>
      </c>
      <c r="BGI16" t="s">
        <v>188</v>
      </c>
      <c r="BGJ16" t="s">
        <v>188</v>
      </c>
      <c r="BGK16" t="s">
        <v>188</v>
      </c>
      <c r="BGL16" t="s">
        <v>188</v>
      </c>
      <c r="BGM16" t="s">
        <v>188</v>
      </c>
      <c r="BGN16" t="s">
        <v>188</v>
      </c>
      <c r="BGO16" t="s">
        <v>188</v>
      </c>
      <c r="BGP16" t="s">
        <v>188</v>
      </c>
      <c r="BGQ16" t="s">
        <v>188</v>
      </c>
      <c r="BGR16" t="s">
        <v>188</v>
      </c>
      <c r="BGS16" t="s">
        <v>188</v>
      </c>
      <c r="BGT16" t="s">
        <v>188</v>
      </c>
      <c r="BGU16" t="s">
        <v>188</v>
      </c>
      <c r="BGV16" t="s">
        <v>188</v>
      </c>
      <c r="BGW16" t="s">
        <v>188</v>
      </c>
      <c r="BGX16" t="s">
        <v>188</v>
      </c>
      <c r="BGY16" t="s">
        <v>188</v>
      </c>
      <c r="BGZ16" t="s">
        <v>188</v>
      </c>
      <c r="BHA16" t="s">
        <v>188</v>
      </c>
      <c r="BHB16" t="s">
        <v>188</v>
      </c>
      <c r="BHC16" t="s">
        <v>188</v>
      </c>
      <c r="BHD16" t="s">
        <v>188</v>
      </c>
      <c r="BHE16" t="s">
        <v>188</v>
      </c>
      <c r="BHF16" t="s">
        <v>188</v>
      </c>
      <c r="BHG16" t="s">
        <v>188</v>
      </c>
      <c r="BHH16" t="s">
        <v>188</v>
      </c>
      <c r="BHI16" t="s">
        <v>188</v>
      </c>
      <c r="BHJ16" t="s">
        <v>188</v>
      </c>
      <c r="BHK16" t="s">
        <v>188</v>
      </c>
      <c r="BHL16" t="s">
        <v>188</v>
      </c>
      <c r="BHM16" t="s">
        <v>188</v>
      </c>
      <c r="BHN16" t="s">
        <v>188</v>
      </c>
      <c r="BHO16" t="s">
        <v>188</v>
      </c>
      <c r="BHP16" t="s">
        <v>188</v>
      </c>
      <c r="BHQ16" t="s">
        <v>188</v>
      </c>
      <c r="BHR16" t="s">
        <v>188</v>
      </c>
      <c r="BHS16" t="s">
        <v>188</v>
      </c>
      <c r="BHT16" t="s">
        <v>188</v>
      </c>
      <c r="BHU16" t="s">
        <v>188</v>
      </c>
      <c r="BHV16" t="s">
        <v>188</v>
      </c>
      <c r="BHW16" t="s">
        <v>188</v>
      </c>
      <c r="BHX16" t="s">
        <v>188</v>
      </c>
      <c r="BHY16" t="s">
        <v>188</v>
      </c>
      <c r="BHZ16" t="s">
        <v>188</v>
      </c>
      <c r="BIA16" t="s">
        <v>188</v>
      </c>
      <c r="BIB16" t="s">
        <v>188</v>
      </c>
      <c r="BIC16" t="s">
        <v>188</v>
      </c>
      <c r="BID16" t="s">
        <v>188</v>
      </c>
      <c r="BIE16" t="s">
        <v>188</v>
      </c>
      <c r="BIF16" t="s">
        <v>188</v>
      </c>
      <c r="BIG16" t="s">
        <v>188</v>
      </c>
      <c r="BIH16" t="s">
        <v>188</v>
      </c>
      <c r="BII16" t="s">
        <v>188</v>
      </c>
      <c r="BIJ16" t="s">
        <v>188</v>
      </c>
      <c r="BIK16" t="s">
        <v>188</v>
      </c>
      <c r="BIL16" t="s">
        <v>188</v>
      </c>
      <c r="BIM16" t="s">
        <v>188</v>
      </c>
      <c r="BIN16" t="s">
        <v>188</v>
      </c>
      <c r="BIO16" t="s">
        <v>188</v>
      </c>
      <c r="BIP16" t="s">
        <v>188</v>
      </c>
      <c r="BIQ16" t="s">
        <v>188</v>
      </c>
      <c r="BIR16" t="s">
        <v>188</v>
      </c>
      <c r="BIS16" t="s">
        <v>188</v>
      </c>
      <c r="BIT16" t="s">
        <v>188</v>
      </c>
      <c r="BIU16" t="s">
        <v>188</v>
      </c>
      <c r="BIV16" t="s">
        <v>188</v>
      </c>
      <c r="BIW16" t="s">
        <v>188</v>
      </c>
      <c r="BIX16" t="s">
        <v>188</v>
      </c>
      <c r="BIY16" t="s">
        <v>188</v>
      </c>
      <c r="BIZ16" t="s">
        <v>188</v>
      </c>
      <c r="BJA16" t="s">
        <v>188</v>
      </c>
      <c r="BJB16" t="s">
        <v>188</v>
      </c>
      <c r="BJC16" t="s">
        <v>188</v>
      </c>
      <c r="BJD16" t="s">
        <v>188</v>
      </c>
      <c r="BJE16" t="s">
        <v>188</v>
      </c>
      <c r="BJF16" t="s">
        <v>188</v>
      </c>
      <c r="BJG16" t="s">
        <v>188</v>
      </c>
      <c r="BJH16" t="s">
        <v>188</v>
      </c>
      <c r="BJI16" t="s">
        <v>188</v>
      </c>
      <c r="BJJ16" t="s">
        <v>188</v>
      </c>
      <c r="BJK16" t="s">
        <v>188</v>
      </c>
      <c r="BJL16" t="s">
        <v>188</v>
      </c>
      <c r="BJM16" t="s">
        <v>188</v>
      </c>
      <c r="BJN16" t="s">
        <v>188</v>
      </c>
      <c r="BJO16" t="s">
        <v>188</v>
      </c>
      <c r="BJP16" t="s">
        <v>188</v>
      </c>
      <c r="BJQ16" t="s">
        <v>188</v>
      </c>
      <c r="BJR16" t="s">
        <v>188</v>
      </c>
      <c r="BJS16" t="s">
        <v>188</v>
      </c>
      <c r="BJT16" t="s">
        <v>188</v>
      </c>
      <c r="BJU16" t="s">
        <v>188</v>
      </c>
      <c r="BJV16" t="s">
        <v>188</v>
      </c>
      <c r="BJW16" t="s">
        <v>188</v>
      </c>
      <c r="BJX16" t="s">
        <v>188</v>
      </c>
      <c r="BJY16" t="s">
        <v>188</v>
      </c>
      <c r="BJZ16" t="s">
        <v>188</v>
      </c>
      <c r="BKA16" t="s">
        <v>188</v>
      </c>
      <c r="BKB16" t="s">
        <v>188</v>
      </c>
      <c r="BKC16" t="s">
        <v>188</v>
      </c>
      <c r="BKD16" t="s">
        <v>188</v>
      </c>
      <c r="BKE16" t="s">
        <v>188</v>
      </c>
      <c r="BKF16" t="s">
        <v>188</v>
      </c>
      <c r="BKG16" t="s">
        <v>188</v>
      </c>
      <c r="BKH16" t="s">
        <v>188</v>
      </c>
      <c r="BKI16" t="s">
        <v>188</v>
      </c>
      <c r="BKJ16" t="s">
        <v>188</v>
      </c>
      <c r="BKK16" t="s">
        <v>188</v>
      </c>
      <c r="BKL16" t="s">
        <v>188</v>
      </c>
      <c r="BKM16" t="s">
        <v>188</v>
      </c>
      <c r="BKN16" t="s">
        <v>188</v>
      </c>
      <c r="BKO16" t="s">
        <v>188</v>
      </c>
      <c r="BKP16" t="s">
        <v>188</v>
      </c>
      <c r="BKQ16" t="s">
        <v>188</v>
      </c>
      <c r="BKR16" t="s">
        <v>188</v>
      </c>
      <c r="BKS16" t="s">
        <v>188</v>
      </c>
      <c r="BKT16" t="s">
        <v>188</v>
      </c>
      <c r="BKU16" t="s">
        <v>188</v>
      </c>
      <c r="BKV16" t="s">
        <v>188</v>
      </c>
      <c r="BKW16" t="s">
        <v>188</v>
      </c>
      <c r="BKX16" t="s">
        <v>188</v>
      </c>
      <c r="BKY16" t="s">
        <v>188</v>
      </c>
      <c r="BKZ16" t="s">
        <v>188</v>
      </c>
      <c r="BLA16" t="s">
        <v>188</v>
      </c>
      <c r="BLB16" t="s">
        <v>188</v>
      </c>
      <c r="BLC16" t="s">
        <v>188</v>
      </c>
      <c r="BLD16" t="s">
        <v>188</v>
      </c>
      <c r="BLE16" t="s">
        <v>188</v>
      </c>
      <c r="BLF16" t="s">
        <v>188</v>
      </c>
      <c r="BLG16" t="s">
        <v>188</v>
      </c>
      <c r="BLH16" t="s">
        <v>188</v>
      </c>
      <c r="BLI16" t="s">
        <v>188</v>
      </c>
      <c r="BLJ16" t="s">
        <v>188</v>
      </c>
      <c r="BLK16" t="s">
        <v>188</v>
      </c>
      <c r="BLL16" t="s">
        <v>188</v>
      </c>
      <c r="BLM16" t="s">
        <v>188</v>
      </c>
      <c r="BLN16" t="s">
        <v>188</v>
      </c>
      <c r="BLO16" t="s">
        <v>188</v>
      </c>
      <c r="BLP16" t="s">
        <v>188</v>
      </c>
      <c r="BLQ16" t="s">
        <v>188</v>
      </c>
      <c r="BLR16" t="s">
        <v>188</v>
      </c>
      <c r="BLS16" t="s">
        <v>188</v>
      </c>
      <c r="BLT16" t="s">
        <v>188</v>
      </c>
      <c r="BLU16" t="s">
        <v>188</v>
      </c>
      <c r="BLV16" t="s">
        <v>188</v>
      </c>
      <c r="BLW16" t="s">
        <v>188</v>
      </c>
      <c r="BLX16" t="s">
        <v>188</v>
      </c>
      <c r="BLY16" t="s">
        <v>188</v>
      </c>
      <c r="BLZ16" t="s">
        <v>188</v>
      </c>
      <c r="BMA16" t="s">
        <v>188</v>
      </c>
      <c r="BMB16" t="s">
        <v>188</v>
      </c>
      <c r="BMC16" t="s">
        <v>188</v>
      </c>
      <c r="BMD16" t="s">
        <v>188</v>
      </c>
      <c r="BME16" t="s">
        <v>188</v>
      </c>
      <c r="BMF16" t="s">
        <v>188</v>
      </c>
      <c r="BMG16" t="s">
        <v>188</v>
      </c>
      <c r="BMH16" t="s">
        <v>188</v>
      </c>
      <c r="BMI16" t="s">
        <v>188</v>
      </c>
      <c r="BMJ16" t="s">
        <v>188</v>
      </c>
      <c r="BMK16" t="s">
        <v>188</v>
      </c>
      <c r="BML16" t="s">
        <v>188</v>
      </c>
      <c r="BMM16" t="s">
        <v>188</v>
      </c>
      <c r="BMN16" t="s">
        <v>188</v>
      </c>
      <c r="BMO16" t="s">
        <v>188</v>
      </c>
      <c r="BMP16" t="s">
        <v>188</v>
      </c>
      <c r="BMQ16" t="s">
        <v>188</v>
      </c>
      <c r="BMR16" t="s">
        <v>188</v>
      </c>
      <c r="BMS16" t="s">
        <v>188</v>
      </c>
      <c r="BMT16" t="s">
        <v>188</v>
      </c>
      <c r="BMU16" t="s">
        <v>188</v>
      </c>
      <c r="BMV16" t="s">
        <v>188</v>
      </c>
      <c r="BMW16" t="s">
        <v>188</v>
      </c>
      <c r="BMX16" t="s">
        <v>188</v>
      </c>
      <c r="BMY16" t="s">
        <v>188</v>
      </c>
      <c r="BMZ16" t="s">
        <v>188</v>
      </c>
      <c r="BNA16" t="s">
        <v>188</v>
      </c>
      <c r="BNB16" t="s">
        <v>188</v>
      </c>
      <c r="BNC16" t="s">
        <v>188</v>
      </c>
      <c r="BND16" t="s">
        <v>188</v>
      </c>
      <c r="BNE16" t="s">
        <v>188</v>
      </c>
      <c r="BNF16" t="s">
        <v>188</v>
      </c>
      <c r="BNG16" t="s">
        <v>188</v>
      </c>
      <c r="BNH16" t="s">
        <v>188</v>
      </c>
      <c r="BNI16" t="s">
        <v>188</v>
      </c>
      <c r="BNJ16" t="s">
        <v>188</v>
      </c>
      <c r="BNK16" t="s">
        <v>188</v>
      </c>
      <c r="BNL16" t="s">
        <v>188</v>
      </c>
      <c r="BNM16" t="s">
        <v>188</v>
      </c>
      <c r="BNN16" t="s">
        <v>188</v>
      </c>
      <c r="BNO16" t="s">
        <v>188</v>
      </c>
      <c r="BNP16" t="s">
        <v>188</v>
      </c>
      <c r="BNQ16" t="s">
        <v>188</v>
      </c>
      <c r="BNR16" t="s">
        <v>188</v>
      </c>
      <c r="BNS16" t="s">
        <v>188</v>
      </c>
      <c r="BNT16" t="s">
        <v>188</v>
      </c>
      <c r="BNU16" t="s">
        <v>188</v>
      </c>
      <c r="BNV16" t="s">
        <v>188</v>
      </c>
      <c r="BNW16" t="s">
        <v>188</v>
      </c>
      <c r="BNX16" t="s">
        <v>188</v>
      </c>
      <c r="BNY16" t="s">
        <v>188</v>
      </c>
      <c r="BNZ16" t="s">
        <v>188</v>
      </c>
      <c r="BOA16" t="s">
        <v>188</v>
      </c>
      <c r="BOB16" t="s">
        <v>188</v>
      </c>
      <c r="BOC16" t="s">
        <v>188</v>
      </c>
      <c r="BOD16" t="s">
        <v>188</v>
      </c>
      <c r="BOE16" t="s">
        <v>188</v>
      </c>
      <c r="BOF16" t="s">
        <v>188</v>
      </c>
      <c r="BOG16" t="s">
        <v>188</v>
      </c>
      <c r="BOH16" t="s">
        <v>188</v>
      </c>
      <c r="BOI16" t="s">
        <v>188</v>
      </c>
      <c r="BOJ16" t="s">
        <v>188</v>
      </c>
      <c r="BOK16" t="s">
        <v>188</v>
      </c>
      <c r="BOL16" t="s">
        <v>188</v>
      </c>
      <c r="BOM16" t="s">
        <v>188</v>
      </c>
      <c r="BON16" t="s">
        <v>188</v>
      </c>
      <c r="BOO16" t="s">
        <v>188</v>
      </c>
      <c r="BOP16" t="s">
        <v>188</v>
      </c>
      <c r="BOQ16" t="s">
        <v>188</v>
      </c>
      <c r="BOR16" t="s">
        <v>188</v>
      </c>
      <c r="BOS16" t="s">
        <v>188</v>
      </c>
      <c r="BOT16" t="s">
        <v>188</v>
      </c>
      <c r="BOU16" t="s">
        <v>188</v>
      </c>
      <c r="BOV16" t="s">
        <v>188</v>
      </c>
      <c r="BOW16" t="s">
        <v>188</v>
      </c>
      <c r="BOX16" t="s">
        <v>188</v>
      </c>
      <c r="BOY16" t="s">
        <v>188</v>
      </c>
      <c r="BOZ16" t="s">
        <v>188</v>
      </c>
      <c r="BPA16" t="s">
        <v>188</v>
      </c>
      <c r="BPB16" t="s">
        <v>188</v>
      </c>
      <c r="BPC16" t="s">
        <v>188</v>
      </c>
      <c r="BPD16" t="s">
        <v>188</v>
      </c>
      <c r="BPE16" t="s">
        <v>188</v>
      </c>
      <c r="BPF16" t="s">
        <v>188</v>
      </c>
      <c r="BPG16" t="s">
        <v>188</v>
      </c>
      <c r="BPH16" t="s">
        <v>188</v>
      </c>
      <c r="BPI16" t="s">
        <v>188</v>
      </c>
      <c r="BPJ16" t="s">
        <v>188</v>
      </c>
      <c r="BPK16" t="s">
        <v>188</v>
      </c>
      <c r="BPL16" t="s">
        <v>188</v>
      </c>
      <c r="BPM16" t="s">
        <v>188</v>
      </c>
      <c r="BPN16" t="s">
        <v>188</v>
      </c>
      <c r="BPO16" t="s">
        <v>188</v>
      </c>
      <c r="BPP16" t="s">
        <v>188</v>
      </c>
      <c r="BPQ16" t="s">
        <v>188</v>
      </c>
      <c r="BPR16" t="s">
        <v>188</v>
      </c>
      <c r="BPS16" t="s">
        <v>188</v>
      </c>
      <c r="BPT16" t="s">
        <v>188</v>
      </c>
      <c r="BPU16" t="s">
        <v>188</v>
      </c>
      <c r="BPV16" t="s">
        <v>188</v>
      </c>
      <c r="BPW16" t="s">
        <v>188</v>
      </c>
      <c r="BPX16" t="s">
        <v>188</v>
      </c>
      <c r="BPY16" t="s">
        <v>188</v>
      </c>
      <c r="BPZ16" t="s">
        <v>188</v>
      </c>
      <c r="BQA16" t="s">
        <v>188</v>
      </c>
      <c r="BQB16" t="s">
        <v>188</v>
      </c>
      <c r="BQC16" t="s">
        <v>188</v>
      </c>
      <c r="BQD16" t="s">
        <v>188</v>
      </c>
      <c r="BQE16" t="s">
        <v>188</v>
      </c>
      <c r="BQF16" t="s">
        <v>188</v>
      </c>
      <c r="BQG16" t="s">
        <v>188</v>
      </c>
      <c r="BQH16" t="s">
        <v>188</v>
      </c>
      <c r="BQI16" t="s">
        <v>188</v>
      </c>
      <c r="BQJ16" t="s">
        <v>188</v>
      </c>
      <c r="BQK16" t="s">
        <v>188</v>
      </c>
      <c r="BQL16" t="s">
        <v>188</v>
      </c>
      <c r="BQM16" t="s">
        <v>188</v>
      </c>
      <c r="BQN16" t="s">
        <v>188</v>
      </c>
      <c r="BQO16" t="s">
        <v>188</v>
      </c>
      <c r="BQP16" t="s">
        <v>188</v>
      </c>
      <c r="BQQ16" t="s">
        <v>188</v>
      </c>
      <c r="BQR16" t="s">
        <v>188</v>
      </c>
      <c r="BQS16" t="s">
        <v>188</v>
      </c>
      <c r="BQT16" t="s">
        <v>188</v>
      </c>
      <c r="BQU16" t="s">
        <v>188</v>
      </c>
      <c r="BQV16" t="s">
        <v>188</v>
      </c>
      <c r="BQW16" t="s">
        <v>188</v>
      </c>
      <c r="BQX16" t="s">
        <v>188</v>
      </c>
      <c r="BQY16" t="s">
        <v>188</v>
      </c>
      <c r="BQZ16" t="s">
        <v>188</v>
      </c>
      <c r="BRA16" t="s">
        <v>188</v>
      </c>
      <c r="BRB16" t="s">
        <v>188</v>
      </c>
      <c r="BRC16" t="s">
        <v>188</v>
      </c>
      <c r="BRD16" t="s">
        <v>188</v>
      </c>
      <c r="BRE16" t="s">
        <v>188</v>
      </c>
      <c r="BRF16" t="s">
        <v>188</v>
      </c>
      <c r="BRG16" t="s">
        <v>188</v>
      </c>
      <c r="BRH16" t="s">
        <v>188</v>
      </c>
      <c r="BRI16" t="s">
        <v>188</v>
      </c>
      <c r="BRJ16" t="s">
        <v>188</v>
      </c>
      <c r="BRK16" t="s">
        <v>188</v>
      </c>
      <c r="BRL16" t="s">
        <v>188</v>
      </c>
      <c r="BRM16" t="s">
        <v>188</v>
      </c>
      <c r="BRN16" t="s">
        <v>188</v>
      </c>
      <c r="BRO16" t="s">
        <v>188</v>
      </c>
      <c r="BRP16" t="s">
        <v>188</v>
      </c>
      <c r="BRQ16" t="s">
        <v>188</v>
      </c>
      <c r="BRR16" t="s">
        <v>188</v>
      </c>
      <c r="BRS16" t="s">
        <v>188</v>
      </c>
      <c r="BRT16" t="s">
        <v>188</v>
      </c>
      <c r="BRU16" t="s">
        <v>188</v>
      </c>
      <c r="BRV16" t="s">
        <v>188</v>
      </c>
      <c r="BRW16" t="s">
        <v>188</v>
      </c>
      <c r="BRX16" t="s">
        <v>188</v>
      </c>
      <c r="BRY16" t="s">
        <v>188</v>
      </c>
      <c r="BRZ16" t="s">
        <v>188</v>
      </c>
      <c r="BSA16" t="s">
        <v>188</v>
      </c>
      <c r="BSB16" t="s">
        <v>188</v>
      </c>
      <c r="BSC16" t="s">
        <v>188</v>
      </c>
      <c r="BSD16" t="s">
        <v>188</v>
      </c>
      <c r="BSE16" t="s">
        <v>188</v>
      </c>
      <c r="BSF16" t="s">
        <v>188</v>
      </c>
      <c r="BSG16" t="s">
        <v>188</v>
      </c>
      <c r="BSH16" t="s">
        <v>188</v>
      </c>
      <c r="BSI16" t="s">
        <v>188</v>
      </c>
      <c r="BSJ16" t="s">
        <v>188</v>
      </c>
      <c r="BSK16" t="s">
        <v>188</v>
      </c>
      <c r="BSL16" t="s">
        <v>188</v>
      </c>
      <c r="BSM16" t="s">
        <v>188</v>
      </c>
      <c r="BSN16" t="s">
        <v>188</v>
      </c>
      <c r="BSO16" t="s">
        <v>188</v>
      </c>
      <c r="BSP16" t="s">
        <v>188</v>
      </c>
      <c r="BSQ16" t="s">
        <v>188</v>
      </c>
      <c r="BSR16" t="s">
        <v>188</v>
      </c>
      <c r="BSS16" t="s">
        <v>188</v>
      </c>
      <c r="BST16" t="s">
        <v>188</v>
      </c>
      <c r="BSU16" t="s">
        <v>188</v>
      </c>
      <c r="BSV16" t="s">
        <v>188</v>
      </c>
      <c r="BSW16" t="s">
        <v>188</v>
      </c>
      <c r="BSX16" t="s">
        <v>188</v>
      </c>
      <c r="BSY16" t="s">
        <v>188</v>
      </c>
      <c r="BSZ16" t="s">
        <v>188</v>
      </c>
      <c r="BTA16" t="s">
        <v>188</v>
      </c>
      <c r="BTB16" t="s">
        <v>188</v>
      </c>
      <c r="BTC16" t="s">
        <v>188</v>
      </c>
      <c r="BTD16" t="s">
        <v>188</v>
      </c>
      <c r="BTE16" t="s">
        <v>188</v>
      </c>
      <c r="BTF16" t="s">
        <v>188</v>
      </c>
      <c r="BTG16" t="s">
        <v>188</v>
      </c>
      <c r="BTH16" t="s">
        <v>188</v>
      </c>
      <c r="BTI16" t="s">
        <v>188</v>
      </c>
      <c r="BTJ16" t="s">
        <v>188</v>
      </c>
      <c r="BTK16" t="s">
        <v>188</v>
      </c>
      <c r="BTL16" t="s">
        <v>188</v>
      </c>
      <c r="BTM16" t="s">
        <v>188</v>
      </c>
      <c r="BTN16" t="s">
        <v>188</v>
      </c>
      <c r="BTO16" t="s">
        <v>188</v>
      </c>
      <c r="BTP16" t="s">
        <v>188</v>
      </c>
      <c r="BTQ16" t="s">
        <v>188</v>
      </c>
      <c r="BTR16" t="s">
        <v>188</v>
      </c>
      <c r="BTS16" t="s">
        <v>188</v>
      </c>
      <c r="BTT16" t="s">
        <v>188</v>
      </c>
      <c r="BTU16" t="s">
        <v>188</v>
      </c>
      <c r="BTV16" t="s">
        <v>188</v>
      </c>
      <c r="BTW16" t="s">
        <v>188</v>
      </c>
      <c r="BTX16" t="s">
        <v>188</v>
      </c>
      <c r="BTY16" t="s">
        <v>188</v>
      </c>
      <c r="BTZ16" t="s">
        <v>188</v>
      </c>
      <c r="BUA16" t="s">
        <v>188</v>
      </c>
      <c r="BUB16" t="s">
        <v>188</v>
      </c>
      <c r="BUC16" t="s">
        <v>188</v>
      </c>
      <c r="BUD16" t="s">
        <v>188</v>
      </c>
      <c r="BUE16" t="s">
        <v>188</v>
      </c>
      <c r="BUF16" t="s">
        <v>188</v>
      </c>
      <c r="BUG16" t="s">
        <v>188</v>
      </c>
      <c r="BUH16" t="s">
        <v>188</v>
      </c>
      <c r="BUI16" t="s">
        <v>188</v>
      </c>
      <c r="BUJ16" t="s">
        <v>188</v>
      </c>
      <c r="BUK16" t="s">
        <v>188</v>
      </c>
      <c r="BUL16" t="s">
        <v>188</v>
      </c>
      <c r="BUM16" t="s">
        <v>188</v>
      </c>
      <c r="BUN16" t="s">
        <v>188</v>
      </c>
      <c r="BUO16" t="s">
        <v>188</v>
      </c>
      <c r="BUP16" t="s">
        <v>188</v>
      </c>
      <c r="BUQ16" t="s">
        <v>188</v>
      </c>
      <c r="BUR16" t="s">
        <v>188</v>
      </c>
      <c r="BUS16" t="s">
        <v>188</v>
      </c>
      <c r="BUT16" t="s">
        <v>188</v>
      </c>
      <c r="BUU16" t="s">
        <v>188</v>
      </c>
      <c r="BUV16" t="s">
        <v>188</v>
      </c>
      <c r="BUW16" t="s">
        <v>188</v>
      </c>
      <c r="BUX16" t="s">
        <v>188</v>
      </c>
      <c r="BUY16" t="s">
        <v>188</v>
      </c>
      <c r="BUZ16" t="s">
        <v>188</v>
      </c>
      <c r="BVA16" t="s">
        <v>188</v>
      </c>
      <c r="BVB16" t="s">
        <v>188</v>
      </c>
      <c r="BVC16" t="s">
        <v>188</v>
      </c>
      <c r="BVD16" t="s">
        <v>188</v>
      </c>
      <c r="BVE16" t="s">
        <v>188</v>
      </c>
      <c r="BVF16" t="s">
        <v>188</v>
      </c>
      <c r="BVG16" t="s">
        <v>188</v>
      </c>
      <c r="BVH16" t="s">
        <v>188</v>
      </c>
      <c r="BVI16" t="s">
        <v>188</v>
      </c>
      <c r="BVJ16" t="s">
        <v>188</v>
      </c>
      <c r="BVK16" t="s">
        <v>188</v>
      </c>
      <c r="BVL16" t="s">
        <v>188</v>
      </c>
      <c r="BVM16" t="s">
        <v>188</v>
      </c>
      <c r="BVN16" t="s">
        <v>188</v>
      </c>
      <c r="BVO16" t="s">
        <v>188</v>
      </c>
      <c r="BVP16" t="s">
        <v>188</v>
      </c>
      <c r="BVQ16" t="s">
        <v>188</v>
      </c>
      <c r="BVR16" t="s">
        <v>188</v>
      </c>
      <c r="BVS16" t="s">
        <v>188</v>
      </c>
      <c r="BVT16" t="s">
        <v>188</v>
      </c>
      <c r="BVU16" t="s">
        <v>188</v>
      </c>
      <c r="BVV16" t="s">
        <v>188</v>
      </c>
      <c r="BVW16" t="s">
        <v>188</v>
      </c>
      <c r="BVX16" t="s">
        <v>188</v>
      </c>
      <c r="BVY16" t="s">
        <v>188</v>
      </c>
      <c r="BVZ16" t="s">
        <v>188</v>
      </c>
      <c r="BWA16" t="s">
        <v>188</v>
      </c>
      <c r="BWB16" t="s">
        <v>188</v>
      </c>
      <c r="BWC16" t="s">
        <v>188</v>
      </c>
      <c r="BWD16" t="s">
        <v>188</v>
      </c>
      <c r="BWE16" t="s">
        <v>188</v>
      </c>
      <c r="BWF16" t="s">
        <v>188</v>
      </c>
      <c r="BWG16" t="s">
        <v>188</v>
      </c>
      <c r="BWH16" t="s">
        <v>188</v>
      </c>
      <c r="BWI16" t="s">
        <v>188</v>
      </c>
      <c r="BWJ16" t="s">
        <v>188</v>
      </c>
      <c r="BWK16" t="s">
        <v>188</v>
      </c>
      <c r="BWL16" t="s">
        <v>188</v>
      </c>
      <c r="BWM16" t="s">
        <v>188</v>
      </c>
      <c r="BWN16" t="s">
        <v>188</v>
      </c>
      <c r="BWO16" t="s">
        <v>188</v>
      </c>
      <c r="BWP16" t="s">
        <v>188</v>
      </c>
      <c r="BWQ16" t="s">
        <v>188</v>
      </c>
      <c r="BWR16" t="s">
        <v>188</v>
      </c>
      <c r="BWS16" t="s">
        <v>188</v>
      </c>
      <c r="BWT16" t="s">
        <v>188</v>
      </c>
      <c r="BWU16" t="s">
        <v>188</v>
      </c>
      <c r="BWV16" t="s">
        <v>188</v>
      </c>
      <c r="BWW16" t="s">
        <v>188</v>
      </c>
      <c r="BWX16" t="s">
        <v>188</v>
      </c>
      <c r="BWY16" t="s">
        <v>188</v>
      </c>
      <c r="BWZ16" t="s">
        <v>188</v>
      </c>
      <c r="BXA16" t="s">
        <v>188</v>
      </c>
      <c r="BXB16" t="s">
        <v>188</v>
      </c>
      <c r="BXC16" t="s">
        <v>188</v>
      </c>
      <c r="BXD16" t="s">
        <v>188</v>
      </c>
      <c r="BXE16" t="s">
        <v>188</v>
      </c>
      <c r="BXF16" t="s">
        <v>188</v>
      </c>
      <c r="BXG16" t="s">
        <v>188</v>
      </c>
      <c r="BXH16" t="s">
        <v>188</v>
      </c>
      <c r="BXI16" t="s">
        <v>188</v>
      </c>
      <c r="BXJ16" t="s">
        <v>188</v>
      </c>
      <c r="BXK16" t="s">
        <v>188</v>
      </c>
      <c r="BXL16" t="s">
        <v>188</v>
      </c>
      <c r="BXM16" t="s">
        <v>188</v>
      </c>
      <c r="BXN16" t="s">
        <v>188</v>
      </c>
      <c r="BXO16" t="s">
        <v>188</v>
      </c>
      <c r="BXP16" t="s">
        <v>188</v>
      </c>
      <c r="BXQ16" t="s">
        <v>188</v>
      </c>
      <c r="BXR16" t="s">
        <v>188</v>
      </c>
      <c r="BXS16" t="s">
        <v>188</v>
      </c>
      <c r="BXT16" t="s">
        <v>188</v>
      </c>
      <c r="BXU16" t="s">
        <v>188</v>
      </c>
      <c r="BXV16" t="s">
        <v>188</v>
      </c>
      <c r="BXW16" t="s">
        <v>188</v>
      </c>
      <c r="BXX16" t="s">
        <v>188</v>
      </c>
      <c r="BXY16" t="s">
        <v>188</v>
      </c>
      <c r="BXZ16" t="s">
        <v>188</v>
      </c>
      <c r="BYA16" t="s">
        <v>188</v>
      </c>
      <c r="BYB16" t="s">
        <v>188</v>
      </c>
      <c r="BYC16" t="s">
        <v>188</v>
      </c>
      <c r="BYD16" t="s">
        <v>188</v>
      </c>
      <c r="BYE16" t="s">
        <v>188</v>
      </c>
      <c r="BYF16" t="s">
        <v>188</v>
      </c>
      <c r="BYG16" t="s">
        <v>188</v>
      </c>
      <c r="BYH16" t="s">
        <v>188</v>
      </c>
      <c r="BYI16" t="s">
        <v>188</v>
      </c>
      <c r="BYJ16" t="s">
        <v>188</v>
      </c>
      <c r="BYK16" t="s">
        <v>188</v>
      </c>
      <c r="BYL16" t="s">
        <v>188</v>
      </c>
      <c r="BYM16" t="s">
        <v>188</v>
      </c>
      <c r="BYN16" t="s">
        <v>188</v>
      </c>
      <c r="BYO16" t="s">
        <v>188</v>
      </c>
      <c r="BYP16" t="s">
        <v>188</v>
      </c>
      <c r="BYQ16" t="s">
        <v>188</v>
      </c>
      <c r="BYR16" t="s">
        <v>188</v>
      </c>
      <c r="BYS16" t="s">
        <v>188</v>
      </c>
      <c r="BYT16" t="s">
        <v>188</v>
      </c>
      <c r="BYU16" t="s">
        <v>188</v>
      </c>
      <c r="BYV16" t="s">
        <v>188</v>
      </c>
      <c r="BYW16" t="s">
        <v>188</v>
      </c>
      <c r="BYX16" t="s">
        <v>188</v>
      </c>
      <c r="BYY16" t="s">
        <v>188</v>
      </c>
      <c r="BYZ16" t="s">
        <v>188</v>
      </c>
      <c r="BZA16" t="s">
        <v>188</v>
      </c>
      <c r="BZB16" t="s">
        <v>188</v>
      </c>
      <c r="BZC16" t="s">
        <v>188</v>
      </c>
      <c r="BZD16" t="s">
        <v>188</v>
      </c>
      <c r="BZE16" t="s">
        <v>188</v>
      </c>
      <c r="BZF16" t="s">
        <v>188</v>
      </c>
      <c r="BZG16" t="s">
        <v>188</v>
      </c>
      <c r="BZH16" t="s">
        <v>188</v>
      </c>
      <c r="BZI16" t="s">
        <v>188</v>
      </c>
      <c r="BZJ16" t="s">
        <v>188</v>
      </c>
      <c r="BZK16" t="s">
        <v>188</v>
      </c>
      <c r="BZL16" t="s">
        <v>188</v>
      </c>
      <c r="BZM16" t="s">
        <v>188</v>
      </c>
      <c r="BZN16" t="s">
        <v>188</v>
      </c>
      <c r="BZO16" t="s">
        <v>188</v>
      </c>
      <c r="BZP16" t="s">
        <v>188</v>
      </c>
      <c r="BZQ16" t="s">
        <v>188</v>
      </c>
      <c r="BZR16" t="s">
        <v>188</v>
      </c>
      <c r="BZS16" t="s">
        <v>188</v>
      </c>
      <c r="BZT16" t="s">
        <v>188</v>
      </c>
      <c r="BZU16" t="s">
        <v>188</v>
      </c>
      <c r="BZV16" t="s">
        <v>188</v>
      </c>
      <c r="BZW16" t="s">
        <v>188</v>
      </c>
      <c r="BZX16" t="s">
        <v>188</v>
      </c>
      <c r="BZY16" t="s">
        <v>188</v>
      </c>
      <c r="BZZ16" t="s">
        <v>188</v>
      </c>
      <c r="CAA16" t="s">
        <v>188</v>
      </c>
      <c r="CAB16" t="s">
        <v>188</v>
      </c>
      <c r="CAC16" t="s">
        <v>188</v>
      </c>
      <c r="CAD16" t="s">
        <v>188</v>
      </c>
      <c r="CAE16" t="s">
        <v>188</v>
      </c>
      <c r="CAF16" t="s">
        <v>188</v>
      </c>
      <c r="CAG16" t="s">
        <v>188</v>
      </c>
      <c r="CAH16" t="s">
        <v>188</v>
      </c>
      <c r="CAI16" t="s">
        <v>188</v>
      </c>
      <c r="CAJ16" t="s">
        <v>188</v>
      </c>
      <c r="CAK16" t="s">
        <v>188</v>
      </c>
      <c r="CAL16" t="s">
        <v>188</v>
      </c>
      <c r="CAM16" t="s">
        <v>188</v>
      </c>
      <c r="CAN16" t="s">
        <v>188</v>
      </c>
      <c r="CAO16" t="s">
        <v>188</v>
      </c>
      <c r="CAP16" t="s">
        <v>188</v>
      </c>
      <c r="CAQ16" t="s">
        <v>188</v>
      </c>
      <c r="CAR16" t="s">
        <v>188</v>
      </c>
      <c r="CAS16" t="s">
        <v>188</v>
      </c>
      <c r="CAT16" t="s">
        <v>188</v>
      </c>
      <c r="CAU16" t="s">
        <v>188</v>
      </c>
      <c r="CAV16" t="s">
        <v>188</v>
      </c>
      <c r="CAW16" t="s">
        <v>188</v>
      </c>
      <c r="CAX16" t="s">
        <v>188</v>
      </c>
      <c r="CAY16" t="s">
        <v>188</v>
      </c>
      <c r="CAZ16" t="s">
        <v>188</v>
      </c>
      <c r="CBA16" t="s">
        <v>188</v>
      </c>
      <c r="CBB16" t="s">
        <v>188</v>
      </c>
      <c r="CBC16" t="s">
        <v>188</v>
      </c>
      <c r="CBD16" t="s">
        <v>188</v>
      </c>
      <c r="CBE16" t="s">
        <v>188</v>
      </c>
      <c r="CBF16" t="s">
        <v>188</v>
      </c>
      <c r="CBG16" t="s">
        <v>188</v>
      </c>
      <c r="CBH16" t="s">
        <v>188</v>
      </c>
      <c r="CBI16" t="s">
        <v>188</v>
      </c>
      <c r="CBJ16" t="s">
        <v>188</v>
      </c>
      <c r="CBK16" t="s">
        <v>188</v>
      </c>
      <c r="CBL16" t="s">
        <v>188</v>
      </c>
      <c r="CBM16" t="s">
        <v>188</v>
      </c>
      <c r="CBN16" t="s">
        <v>188</v>
      </c>
      <c r="CBO16" t="s">
        <v>188</v>
      </c>
      <c r="CBP16" t="s">
        <v>188</v>
      </c>
      <c r="CBQ16" t="s">
        <v>188</v>
      </c>
      <c r="CBR16" t="s">
        <v>188</v>
      </c>
      <c r="CBS16" t="s">
        <v>188</v>
      </c>
      <c r="CBT16" t="s">
        <v>188</v>
      </c>
      <c r="CBU16" t="s">
        <v>188</v>
      </c>
      <c r="CBV16" t="s">
        <v>188</v>
      </c>
      <c r="CBW16" t="s">
        <v>188</v>
      </c>
      <c r="CBX16" t="s">
        <v>188</v>
      </c>
      <c r="CBY16" t="s">
        <v>188</v>
      </c>
      <c r="CBZ16" t="s">
        <v>188</v>
      </c>
      <c r="CCA16" t="s">
        <v>188</v>
      </c>
      <c r="CCB16" t="s">
        <v>188</v>
      </c>
      <c r="CCC16" t="s">
        <v>188</v>
      </c>
      <c r="CCD16" t="s">
        <v>188</v>
      </c>
      <c r="CCE16" t="s">
        <v>188</v>
      </c>
      <c r="CCF16" t="s">
        <v>188</v>
      </c>
      <c r="CCG16" t="s">
        <v>188</v>
      </c>
      <c r="CCH16" t="s">
        <v>188</v>
      </c>
      <c r="CCI16" t="s">
        <v>188</v>
      </c>
      <c r="CCJ16" t="s">
        <v>188</v>
      </c>
      <c r="CCK16" t="s">
        <v>188</v>
      </c>
      <c r="CCL16" t="s">
        <v>188</v>
      </c>
      <c r="CCM16" t="s">
        <v>188</v>
      </c>
      <c r="CCN16" t="s">
        <v>188</v>
      </c>
      <c r="CCO16" t="s">
        <v>188</v>
      </c>
      <c r="CCP16" t="s">
        <v>188</v>
      </c>
      <c r="CCQ16" t="s">
        <v>188</v>
      </c>
      <c r="CCR16" t="s">
        <v>188</v>
      </c>
      <c r="CCS16" t="s">
        <v>188</v>
      </c>
      <c r="CCT16" t="s">
        <v>188</v>
      </c>
      <c r="CCU16" t="s">
        <v>188</v>
      </c>
      <c r="CCV16" t="s">
        <v>188</v>
      </c>
      <c r="CCW16" t="s">
        <v>188</v>
      </c>
      <c r="CCX16" t="s">
        <v>188</v>
      </c>
      <c r="CCY16" t="s">
        <v>188</v>
      </c>
      <c r="CCZ16" t="s">
        <v>188</v>
      </c>
      <c r="CDA16" t="s">
        <v>188</v>
      </c>
      <c r="CDB16" t="s">
        <v>188</v>
      </c>
      <c r="CDC16" t="s">
        <v>188</v>
      </c>
      <c r="CDD16" t="s">
        <v>188</v>
      </c>
      <c r="CDE16" t="s">
        <v>188</v>
      </c>
      <c r="CDF16" t="s">
        <v>188</v>
      </c>
      <c r="CDG16" t="s">
        <v>188</v>
      </c>
      <c r="CDH16" t="s">
        <v>188</v>
      </c>
      <c r="CDI16" t="s">
        <v>188</v>
      </c>
      <c r="CDJ16" t="s">
        <v>188</v>
      </c>
      <c r="CDK16" t="s">
        <v>188</v>
      </c>
      <c r="CDL16" t="s">
        <v>188</v>
      </c>
      <c r="CDM16" t="s">
        <v>188</v>
      </c>
      <c r="CDN16" t="s">
        <v>188</v>
      </c>
      <c r="CDO16" t="s">
        <v>188</v>
      </c>
      <c r="CDP16" t="s">
        <v>188</v>
      </c>
      <c r="CDQ16" t="s">
        <v>188</v>
      </c>
      <c r="CDR16" t="s">
        <v>188</v>
      </c>
      <c r="CDS16" t="s">
        <v>188</v>
      </c>
      <c r="CDT16" t="s">
        <v>188</v>
      </c>
      <c r="CDU16" t="s">
        <v>188</v>
      </c>
      <c r="CDV16" t="s">
        <v>188</v>
      </c>
      <c r="CDW16" t="s">
        <v>188</v>
      </c>
      <c r="CDX16" t="s">
        <v>188</v>
      </c>
      <c r="CDY16" t="s">
        <v>188</v>
      </c>
      <c r="CDZ16" t="s">
        <v>188</v>
      </c>
      <c r="CEA16" t="s">
        <v>188</v>
      </c>
      <c r="CEB16" t="s">
        <v>188</v>
      </c>
      <c r="CEC16" t="s">
        <v>188</v>
      </c>
      <c r="CED16" t="s">
        <v>188</v>
      </c>
      <c r="CEE16" t="s">
        <v>188</v>
      </c>
      <c r="CEF16" t="s">
        <v>188</v>
      </c>
      <c r="CEG16" t="s">
        <v>188</v>
      </c>
      <c r="CEH16" t="s">
        <v>188</v>
      </c>
      <c r="CEI16" t="s">
        <v>188</v>
      </c>
      <c r="CEJ16" t="s">
        <v>188</v>
      </c>
      <c r="CEK16" t="s">
        <v>188</v>
      </c>
      <c r="CEL16" t="s">
        <v>188</v>
      </c>
      <c r="CEM16" t="s">
        <v>188</v>
      </c>
      <c r="CEN16" t="s">
        <v>188</v>
      </c>
      <c r="CEO16" t="s">
        <v>188</v>
      </c>
      <c r="CEP16" t="s">
        <v>188</v>
      </c>
      <c r="CEQ16" t="s">
        <v>188</v>
      </c>
      <c r="CER16" t="s">
        <v>188</v>
      </c>
      <c r="CES16" t="s">
        <v>188</v>
      </c>
      <c r="CET16" t="s">
        <v>188</v>
      </c>
      <c r="CEU16" t="s">
        <v>188</v>
      </c>
      <c r="CEV16" t="s">
        <v>188</v>
      </c>
      <c r="CEW16" t="s">
        <v>188</v>
      </c>
      <c r="CEX16" t="s">
        <v>188</v>
      </c>
      <c r="CEY16" t="s">
        <v>188</v>
      </c>
      <c r="CEZ16" t="s">
        <v>188</v>
      </c>
      <c r="CFA16" t="s">
        <v>188</v>
      </c>
      <c r="CFB16" t="s">
        <v>188</v>
      </c>
      <c r="CFC16" t="s">
        <v>188</v>
      </c>
      <c r="CFD16" t="s">
        <v>188</v>
      </c>
      <c r="CFE16" t="s">
        <v>188</v>
      </c>
      <c r="CFF16" t="s">
        <v>188</v>
      </c>
      <c r="CFG16" t="s">
        <v>188</v>
      </c>
      <c r="CFH16" t="s">
        <v>188</v>
      </c>
      <c r="CFI16" t="s">
        <v>188</v>
      </c>
      <c r="CFJ16" t="s">
        <v>188</v>
      </c>
      <c r="CFK16" t="s">
        <v>188</v>
      </c>
      <c r="CFL16" t="s">
        <v>188</v>
      </c>
      <c r="CFM16" t="s">
        <v>188</v>
      </c>
      <c r="CFN16" t="s">
        <v>188</v>
      </c>
      <c r="CFO16" t="s">
        <v>188</v>
      </c>
      <c r="CFP16" t="s">
        <v>188</v>
      </c>
      <c r="CFQ16" t="s">
        <v>188</v>
      </c>
      <c r="CFR16" t="s">
        <v>188</v>
      </c>
      <c r="CFS16" t="s">
        <v>188</v>
      </c>
      <c r="CFT16" t="s">
        <v>188</v>
      </c>
      <c r="CFU16" t="s">
        <v>188</v>
      </c>
      <c r="CFV16" t="s">
        <v>188</v>
      </c>
      <c r="CFW16" t="s">
        <v>188</v>
      </c>
      <c r="CFX16" t="s">
        <v>188</v>
      </c>
      <c r="CFY16" t="s">
        <v>188</v>
      </c>
      <c r="CFZ16" t="s">
        <v>188</v>
      </c>
      <c r="CGA16" t="s">
        <v>188</v>
      </c>
      <c r="CGB16" t="s">
        <v>188</v>
      </c>
      <c r="CGC16" t="s">
        <v>188</v>
      </c>
      <c r="CGD16" t="s">
        <v>188</v>
      </c>
      <c r="CGE16" t="s">
        <v>188</v>
      </c>
      <c r="CGF16" t="s">
        <v>188</v>
      </c>
      <c r="CGG16" t="s">
        <v>188</v>
      </c>
      <c r="CGH16" t="s">
        <v>188</v>
      </c>
      <c r="CGI16" t="s">
        <v>188</v>
      </c>
      <c r="CGJ16" t="s">
        <v>188</v>
      </c>
      <c r="CGK16" t="s">
        <v>188</v>
      </c>
      <c r="CGL16" t="s">
        <v>188</v>
      </c>
      <c r="CGM16" t="s">
        <v>188</v>
      </c>
      <c r="CGN16" t="s">
        <v>188</v>
      </c>
      <c r="CGO16" t="s">
        <v>188</v>
      </c>
      <c r="CGP16" t="s">
        <v>188</v>
      </c>
      <c r="CGQ16" t="s">
        <v>188</v>
      </c>
      <c r="CGR16" t="s">
        <v>188</v>
      </c>
      <c r="CGS16" t="s">
        <v>188</v>
      </c>
      <c r="CGT16" t="s">
        <v>188</v>
      </c>
      <c r="CGU16" t="s">
        <v>188</v>
      </c>
      <c r="CGV16" t="s">
        <v>188</v>
      </c>
      <c r="CGW16" t="s">
        <v>188</v>
      </c>
      <c r="CGX16" t="s">
        <v>188</v>
      </c>
      <c r="CGY16" t="s">
        <v>188</v>
      </c>
      <c r="CGZ16" t="s">
        <v>188</v>
      </c>
      <c r="CHA16" t="s">
        <v>188</v>
      </c>
      <c r="CHB16" t="s">
        <v>188</v>
      </c>
      <c r="CHC16" t="s">
        <v>188</v>
      </c>
      <c r="CHD16" t="s">
        <v>188</v>
      </c>
      <c r="CHE16" t="s">
        <v>188</v>
      </c>
      <c r="CHF16" t="s">
        <v>188</v>
      </c>
      <c r="CHG16" t="s">
        <v>188</v>
      </c>
      <c r="CHH16" t="s">
        <v>188</v>
      </c>
      <c r="CHI16" t="s">
        <v>188</v>
      </c>
      <c r="CHJ16" t="s">
        <v>188</v>
      </c>
      <c r="CHK16" t="s">
        <v>188</v>
      </c>
      <c r="CHL16" t="s">
        <v>188</v>
      </c>
      <c r="CHM16" t="s">
        <v>188</v>
      </c>
      <c r="CHN16" t="s">
        <v>188</v>
      </c>
      <c r="CHO16" t="s">
        <v>188</v>
      </c>
      <c r="CHP16" t="s">
        <v>188</v>
      </c>
      <c r="CHQ16" t="s">
        <v>188</v>
      </c>
      <c r="CHR16" t="s">
        <v>188</v>
      </c>
      <c r="CHS16" t="s">
        <v>188</v>
      </c>
      <c r="CHT16" t="s">
        <v>188</v>
      </c>
      <c r="CHU16" t="s">
        <v>188</v>
      </c>
      <c r="CHV16" t="s">
        <v>188</v>
      </c>
      <c r="CHW16" t="s">
        <v>188</v>
      </c>
      <c r="CHX16" t="s">
        <v>188</v>
      </c>
      <c r="CHY16" t="s">
        <v>188</v>
      </c>
      <c r="CHZ16" t="s">
        <v>188</v>
      </c>
      <c r="CIA16" t="s">
        <v>188</v>
      </c>
      <c r="CIB16" t="s">
        <v>188</v>
      </c>
      <c r="CIC16" t="s">
        <v>188</v>
      </c>
      <c r="CID16" t="s">
        <v>188</v>
      </c>
      <c r="CIE16" t="s">
        <v>188</v>
      </c>
      <c r="CIF16" t="s">
        <v>188</v>
      </c>
      <c r="CIG16" t="s">
        <v>188</v>
      </c>
      <c r="CIH16" t="s">
        <v>188</v>
      </c>
      <c r="CII16" t="s">
        <v>188</v>
      </c>
      <c r="CIJ16" t="s">
        <v>188</v>
      </c>
      <c r="CIK16" t="s">
        <v>188</v>
      </c>
      <c r="CIL16" t="s">
        <v>188</v>
      </c>
      <c r="CIM16" t="s">
        <v>188</v>
      </c>
      <c r="CIN16" t="s">
        <v>188</v>
      </c>
      <c r="CIO16" t="s">
        <v>188</v>
      </c>
      <c r="CIP16" t="s">
        <v>188</v>
      </c>
      <c r="CIQ16" t="s">
        <v>188</v>
      </c>
      <c r="CIR16" t="s">
        <v>188</v>
      </c>
      <c r="CIS16" t="s">
        <v>188</v>
      </c>
      <c r="CIT16" t="s">
        <v>188</v>
      </c>
      <c r="CIU16" t="s">
        <v>188</v>
      </c>
      <c r="CIV16" t="s">
        <v>188</v>
      </c>
      <c r="CIW16" t="s">
        <v>188</v>
      </c>
      <c r="CIX16" t="s">
        <v>188</v>
      </c>
      <c r="CIY16" t="s">
        <v>188</v>
      </c>
      <c r="CIZ16" t="s">
        <v>188</v>
      </c>
      <c r="CJA16" t="s">
        <v>188</v>
      </c>
      <c r="CJB16" t="s">
        <v>188</v>
      </c>
      <c r="CJC16" t="s">
        <v>188</v>
      </c>
      <c r="CJD16" t="s">
        <v>188</v>
      </c>
      <c r="CJE16" t="s">
        <v>188</v>
      </c>
      <c r="CJF16" t="s">
        <v>188</v>
      </c>
      <c r="CJG16" t="s">
        <v>188</v>
      </c>
      <c r="CJH16" t="s">
        <v>188</v>
      </c>
      <c r="CJI16" t="s">
        <v>188</v>
      </c>
      <c r="CJJ16" t="s">
        <v>188</v>
      </c>
      <c r="CJK16" t="s">
        <v>188</v>
      </c>
      <c r="CJL16" t="s">
        <v>188</v>
      </c>
      <c r="CJM16" t="s">
        <v>188</v>
      </c>
      <c r="CJN16" t="s">
        <v>188</v>
      </c>
      <c r="CJO16" t="s">
        <v>188</v>
      </c>
      <c r="CJP16" t="s">
        <v>188</v>
      </c>
      <c r="CJQ16" t="s">
        <v>188</v>
      </c>
      <c r="CJR16" t="s">
        <v>188</v>
      </c>
      <c r="CJS16" t="s">
        <v>188</v>
      </c>
      <c r="CJT16" t="s">
        <v>188</v>
      </c>
      <c r="CJU16" t="s">
        <v>188</v>
      </c>
      <c r="CJV16" t="s">
        <v>188</v>
      </c>
      <c r="CJW16" t="s">
        <v>188</v>
      </c>
      <c r="CJX16" t="s">
        <v>188</v>
      </c>
      <c r="CJY16" t="s">
        <v>188</v>
      </c>
      <c r="CJZ16" t="s">
        <v>188</v>
      </c>
      <c r="CKA16" t="s">
        <v>188</v>
      </c>
      <c r="CKB16" t="s">
        <v>188</v>
      </c>
      <c r="CKC16" t="s">
        <v>188</v>
      </c>
      <c r="CKD16" t="s">
        <v>188</v>
      </c>
      <c r="CKE16" t="s">
        <v>188</v>
      </c>
      <c r="CKF16" t="s">
        <v>188</v>
      </c>
      <c r="CKG16" t="s">
        <v>188</v>
      </c>
      <c r="CKH16" t="s">
        <v>188</v>
      </c>
      <c r="CKI16" t="s">
        <v>188</v>
      </c>
      <c r="CKJ16" t="s">
        <v>188</v>
      </c>
      <c r="CKK16" t="s">
        <v>188</v>
      </c>
      <c r="CKL16" t="s">
        <v>188</v>
      </c>
      <c r="CKM16" t="s">
        <v>188</v>
      </c>
      <c r="CKN16" t="s">
        <v>188</v>
      </c>
      <c r="CKO16" t="s">
        <v>188</v>
      </c>
      <c r="CKP16" t="s">
        <v>188</v>
      </c>
      <c r="CKQ16" t="s">
        <v>188</v>
      </c>
      <c r="CKR16" t="s">
        <v>188</v>
      </c>
      <c r="CKS16" t="s">
        <v>188</v>
      </c>
      <c r="CKT16" t="s">
        <v>188</v>
      </c>
      <c r="CKU16" t="s">
        <v>188</v>
      </c>
      <c r="CKV16" t="s">
        <v>188</v>
      </c>
      <c r="CKW16" t="s">
        <v>188</v>
      </c>
      <c r="CKX16" t="s">
        <v>188</v>
      </c>
      <c r="CKY16" t="s">
        <v>188</v>
      </c>
      <c r="CKZ16" t="s">
        <v>188</v>
      </c>
      <c r="CLA16" t="s">
        <v>188</v>
      </c>
      <c r="CLB16" t="s">
        <v>188</v>
      </c>
      <c r="CLC16" t="s">
        <v>188</v>
      </c>
      <c r="CLD16" t="s">
        <v>188</v>
      </c>
      <c r="CLE16" t="s">
        <v>188</v>
      </c>
      <c r="CLF16" t="s">
        <v>188</v>
      </c>
      <c r="CLG16" t="s">
        <v>188</v>
      </c>
      <c r="CLH16" t="s">
        <v>188</v>
      </c>
      <c r="CLI16" t="s">
        <v>188</v>
      </c>
      <c r="CLJ16" t="s">
        <v>188</v>
      </c>
      <c r="CLK16" t="s">
        <v>188</v>
      </c>
      <c r="CLL16" t="s">
        <v>188</v>
      </c>
      <c r="CLM16" t="s">
        <v>188</v>
      </c>
      <c r="CLN16" t="s">
        <v>188</v>
      </c>
      <c r="CLO16" t="s">
        <v>188</v>
      </c>
      <c r="CLP16" t="s">
        <v>188</v>
      </c>
      <c r="CLQ16" t="s">
        <v>188</v>
      </c>
      <c r="CLR16" t="s">
        <v>188</v>
      </c>
      <c r="CLS16" t="s">
        <v>188</v>
      </c>
      <c r="CLT16" t="s">
        <v>188</v>
      </c>
      <c r="CLU16" t="s">
        <v>188</v>
      </c>
      <c r="CLV16" t="s">
        <v>188</v>
      </c>
      <c r="CLW16" t="s">
        <v>188</v>
      </c>
      <c r="CLX16" t="s">
        <v>188</v>
      </c>
      <c r="CLY16" t="s">
        <v>188</v>
      </c>
      <c r="CLZ16" t="s">
        <v>188</v>
      </c>
      <c r="CMA16" t="s">
        <v>188</v>
      </c>
      <c r="CMB16" t="s">
        <v>188</v>
      </c>
      <c r="CMC16" t="s">
        <v>188</v>
      </c>
      <c r="CMD16" t="s">
        <v>188</v>
      </c>
      <c r="CME16" t="s">
        <v>188</v>
      </c>
      <c r="CMF16" t="s">
        <v>188</v>
      </c>
      <c r="CMG16" t="s">
        <v>188</v>
      </c>
      <c r="CMH16" t="s">
        <v>188</v>
      </c>
      <c r="CMI16" t="s">
        <v>188</v>
      </c>
      <c r="CMJ16" t="s">
        <v>188</v>
      </c>
      <c r="CMK16" t="s">
        <v>188</v>
      </c>
      <c r="CML16" t="s">
        <v>188</v>
      </c>
      <c r="CMM16" t="s">
        <v>188</v>
      </c>
      <c r="CMN16" t="s">
        <v>188</v>
      </c>
      <c r="CMO16" t="s">
        <v>188</v>
      </c>
      <c r="CMP16" t="s">
        <v>188</v>
      </c>
      <c r="CMQ16" t="s">
        <v>188</v>
      </c>
      <c r="CMR16" t="s">
        <v>188</v>
      </c>
      <c r="CMS16" t="s">
        <v>188</v>
      </c>
      <c r="CMT16" t="s">
        <v>188</v>
      </c>
      <c r="CMU16" t="s">
        <v>188</v>
      </c>
      <c r="CMV16" t="s">
        <v>188</v>
      </c>
      <c r="CMW16" t="s">
        <v>188</v>
      </c>
      <c r="CMX16" t="s">
        <v>188</v>
      </c>
      <c r="CMY16" t="s">
        <v>188</v>
      </c>
      <c r="CMZ16" t="s">
        <v>188</v>
      </c>
      <c r="CNA16" t="s">
        <v>188</v>
      </c>
      <c r="CNB16" t="s">
        <v>188</v>
      </c>
      <c r="CNC16" t="s">
        <v>188</v>
      </c>
      <c r="CND16" t="s">
        <v>188</v>
      </c>
      <c r="CNE16" t="s">
        <v>188</v>
      </c>
      <c r="CNF16" t="s">
        <v>188</v>
      </c>
      <c r="CNG16" t="s">
        <v>188</v>
      </c>
      <c r="CNH16" t="s">
        <v>188</v>
      </c>
      <c r="CNI16" t="s">
        <v>188</v>
      </c>
      <c r="CNJ16" t="s">
        <v>188</v>
      </c>
      <c r="CNK16" t="s">
        <v>188</v>
      </c>
      <c r="CNL16" t="s">
        <v>188</v>
      </c>
      <c r="CNM16" t="s">
        <v>188</v>
      </c>
      <c r="CNN16" t="s">
        <v>188</v>
      </c>
      <c r="CNO16" t="s">
        <v>188</v>
      </c>
      <c r="CNP16" t="s">
        <v>188</v>
      </c>
      <c r="CNQ16" t="s">
        <v>188</v>
      </c>
      <c r="CNR16" t="s">
        <v>188</v>
      </c>
      <c r="CNS16" t="s">
        <v>188</v>
      </c>
      <c r="CNT16" t="s">
        <v>188</v>
      </c>
      <c r="CNU16" t="s">
        <v>188</v>
      </c>
      <c r="CNV16" t="s">
        <v>188</v>
      </c>
      <c r="CNW16" t="s">
        <v>188</v>
      </c>
      <c r="CNX16" t="s">
        <v>188</v>
      </c>
      <c r="CNY16" t="s">
        <v>188</v>
      </c>
      <c r="CNZ16" t="s">
        <v>188</v>
      </c>
      <c r="COA16" t="s">
        <v>188</v>
      </c>
      <c r="COB16" t="s">
        <v>188</v>
      </c>
      <c r="COC16" t="s">
        <v>188</v>
      </c>
      <c r="COD16" t="s">
        <v>188</v>
      </c>
      <c r="COE16" t="s">
        <v>188</v>
      </c>
      <c r="COF16" t="s">
        <v>188</v>
      </c>
      <c r="COG16" t="s">
        <v>188</v>
      </c>
      <c r="COH16" t="s">
        <v>188</v>
      </c>
      <c r="COI16" t="s">
        <v>188</v>
      </c>
      <c r="COJ16" t="s">
        <v>188</v>
      </c>
      <c r="COK16" t="s">
        <v>188</v>
      </c>
      <c r="COL16" t="s">
        <v>188</v>
      </c>
      <c r="COM16" t="s">
        <v>188</v>
      </c>
      <c r="CON16" t="s">
        <v>188</v>
      </c>
      <c r="COO16" t="s">
        <v>188</v>
      </c>
      <c r="COP16" t="s">
        <v>188</v>
      </c>
      <c r="COQ16" t="s">
        <v>188</v>
      </c>
      <c r="COR16" t="s">
        <v>188</v>
      </c>
      <c r="COS16" t="s">
        <v>188</v>
      </c>
      <c r="COT16" t="s">
        <v>188</v>
      </c>
      <c r="COU16" t="s">
        <v>188</v>
      </c>
      <c r="COV16" t="s">
        <v>188</v>
      </c>
      <c r="COW16" t="s">
        <v>188</v>
      </c>
      <c r="COX16" t="s">
        <v>188</v>
      </c>
      <c r="COY16" t="s">
        <v>188</v>
      </c>
      <c r="COZ16" t="s">
        <v>188</v>
      </c>
      <c r="CPA16" t="s">
        <v>188</v>
      </c>
      <c r="CPB16" t="s">
        <v>188</v>
      </c>
      <c r="CPC16" t="s">
        <v>188</v>
      </c>
      <c r="CPD16" t="s">
        <v>188</v>
      </c>
      <c r="CPE16" t="s">
        <v>188</v>
      </c>
      <c r="CPF16" t="s">
        <v>188</v>
      </c>
      <c r="CPG16" t="s">
        <v>188</v>
      </c>
      <c r="CPH16" t="s">
        <v>188</v>
      </c>
      <c r="CPI16" t="s">
        <v>188</v>
      </c>
      <c r="CPJ16" t="s">
        <v>188</v>
      </c>
      <c r="CPK16" t="s">
        <v>188</v>
      </c>
      <c r="CPL16" t="s">
        <v>188</v>
      </c>
      <c r="CPM16" t="s">
        <v>188</v>
      </c>
      <c r="CPN16" t="s">
        <v>188</v>
      </c>
      <c r="CPO16" t="s">
        <v>188</v>
      </c>
      <c r="CPP16" t="s">
        <v>188</v>
      </c>
      <c r="CPQ16" t="s">
        <v>188</v>
      </c>
      <c r="CPR16" t="s">
        <v>188</v>
      </c>
      <c r="CPS16" t="s">
        <v>188</v>
      </c>
      <c r="CPT16" t="s">
        <v>188</v>
      </c>
      <c r="CPU16" t="s">
        <v>188</v>
      </c>
      <c r="CPV16" t="s">
        <v>188</v>
      </c>
      <c r="CPW16" t="s">
        <v>188</v>
      </c>
      <c r="CPX16" t="s">
        <v>188</v>
      </c>
      <c r="CPY16" t="s">
        <v>188</v>
      </c>
      <c r="CPZ16" t="s">
        <v>188</v>
      </c>
      <c r="CQA16" t="s">
        <v>188</v>
      </c>
      <c r="CQB16" t="s">
        <v>188</v>
      </c>
      <c r="CQC16" t="s">
        <v>188</v>
      </c>
      <c r="CQD16" t="s">
        <v>188</v>
      </c>
      <c r="CQE16" t="s">
        <v>188</v>
      </c>
      <c r="CQF16" t="s">
        <v>188</v>
      </c>
      <c r="CQG16" t="s">
        <v>188</v>
      </c>
      <c r="CQH16" t="s">
        <v>188</v>
      </c>
      <c r="CQI16" t="s">
        <v>188</v>
      </c>
      <c r="CQJ16" t="s">
        <v>188</v>
      </c>
      <c r="CQK16" t="s">
        <v>188</v>
      </c>
      <c r="CQL16" t="s">
        <v>188</v>
      </c>
      <c r="CQM16" t="s">
        <v>188</v>
      </c>
      <c r="CQN16" t="s">
        <v>188</v>
      </c>
      <c r="CQO16" t="s">
        <v>188</v>
      </c>
      <c r="CQP16" t="s">
        <v>188</v>
      </c>
      <c r="CQQ16" t="s">
        <v>188</v>
      </c>
      <c r="CQR16" t="s">
        <v>188</v>
      </c>
      <c r="CQS16" t="s">
        <v>188</v>
      </c>
      <c r="CQT16" t="s">
        <v>188</v>
      </c>
      <c r="CQU16" t="s">
        <v>188</v>
      </c>
      <c r="CQV16" t="s">
        <v>188</v>
      </c>
      <c r="CQW16" t="s">
        <v>188</v>
      </c>
      <c r="CQX16" t="s">
        <v>188</v>
      </c>
      <c r="CQY16" t="s">
        <v>188</v>
      </c>
      <c r="CQZ16" t="s">
        <v>188</v>
      </c>
      <c r="CRA16" t="s">
        <v>188</v>
      </c>
      <c r="CRB16" t="s">
        <v>188</v>
      </c>
      <c r="CRC16" t="s">
        <v>188</v>
      </c>
      <c r="CRD16" t="s">
        <v>188</v>
      </c>
      <c r="CRE16" t="s">
        <v>188</v>
      </c>
      <c r="CRF16" t="s">
        <v>188</v>
      </c>
      <c r="CRG16" t="s">
        <v>188</v>
      </c>
      <c r="CRH16" t="s">
        <v>188</v>
      </c>
      <c r="CRI16" t="s">
        <v>188</v>
      </c>
      <c r="CRJ16" t="s">
        <v>188</v>
      </c>
      <c r="CRK16" t="s">
        <v>188</v>
      </c>
      <c r="CRL16" t="s">
        <v>188</v>
      </c>
      <c r="CRM16" t="s">
        <v>188</v>
      </c>
      <c r="CRN16" t="s">
        <v>188</v>
      </c>
      <c r="CRO16" t="s">
        <v>188</v>
      </c>
      <c r="CRP16" t="s">
        <v>188</v>
      </c>
      <c r="CRQ16" t="s">
        <v>188</v>
      </c>
      <c r="CRR16" t="s">
        <v>188</v>
      </c>
      <c r="CRS16" t="s">
        <v>188</v>
      </c>
      <c r="CRT16" t="s">
        <v>188</v>
      </c>
      <c r="CRU16" t="s">
        <v>188</v>
      </c>
      <c r="CRV16" t="s">
        <v>188</v>
      </c>
      <c r="CRW16" t="s">
        <v>188</v>
      </c>
      <c r="CRX16" t="s">
        <v>188</v>
      </c>
      <c r="CRY16" t="s">
        <v>188</v>
      </c>
      <c r="CRZ16" t="s">
        <v>188</v>
      </c>
      <c r="CSA16" t="s">
        <v>188</v>
      </c>
      <c r="CSB16" t="s">
        <v>188</v>
      </c>
      <c r="CSC16" t="s">
        <v>188</v>
      </c>
      <c r="CSD16" t="s">
        <v>188</v>
      </c>
      <c r="CSE16" t="s">
        <v>188</v>
      </c>
      <c r="CSF16" t="s">
        <v>188</v>
      </c>
      <c r="CSG16" t="s">
        <v>188</v>
      </c>
      <c r="CSH16" t="s">
        <v>188</v>
      </c>
      <c r="CSI16" t="s">
        <v>188</v>
      </c>
      <c r="CSJ16" t="s">
        <v>188</v>
      </c>
      <c r="CSK16" t="s">
        <v>188</v>
      </c>
      <c r="CSL16" t="s">
        <v>188</v>
      </c>
      <c r="CSM16" t="s">
        <v>188</v>
      </c>
      <c r="CSN16" t="s">
        <v>188</v>
      </c>
      <c r="CSO16" t="s">
        <v>188</v>
      </c>
      <c r="CSP16" t="s">
        <v>188</v>
      </c>
      <c r="CSQ16" t="s">
        <v>188</v>
      </c>
      <c r="CSR16" t="s">
        <v>188</v>
      </c>
      <c r="CSS16" t="s">
        <v>188</v>
      </c>
      <c r="CST16" t="s">
        <v>188</v>
      </c>
      <c r="CSU16" t="s">
        <v>188</v>
      </c>
      <c r="CSV16" t="s">
        <v>188</v>
      </c>
      <c r="CSW16" t="s">
        <v>188</v>
      </c>
      <c r="CSX16" t="s">
        <v>188</v>
      </c>
      <c r="CSY16" t="s">
        <v>188</v>
      </c>
      <c r="CSZ16" t="s">
        <v>188</v>
      </c>
      <c r="CTA16" t="s">
        <v>188</v>
      </c>
      <c r="CTB16" t="s">
        <v>188</v>
      </c>
      <c r="CTC16" t="s">
        <v>188</v>
      </c>
      <c r="CTD16" t="s">
        <v>188</v>
      </c>
      <c r="CTE16" t="s">
        <v>188</v>
      </c>
      <c r="CTF16" t="s">
        <v>188</v>
      </c>
      <c r="CTG16" t="s">
        <v>188</v>
      </c>
      <c r="CTH16" t="s">
        <v>188</v>
      </c>
      <c r="CTI16" t="s">
        <v>188</v>
      </c>
      <c r="CTJ16" t="s">
        <v>188</v>
      </c>
      <c r="CTK16" t="s">
        <v>188</v>
      </c>
      <c r="CTL16" t="s">
        <v>188</v>
      </c>
      <c r="CTM16" t="s">
        <v>188</v>
      </c>
      <c r="CTN16" t="s">
        <v>188</v>
      </c>
      <c r="CTO16" t="s">
        <v>188</v>
      </c>
      <c r="CTP16" t="s">
        <v>188</v>
      </c>
      <c r="CTQ16" t="s">
        <v>188</v>
      </c>
      <c r="CTR16" t="s">
        <v>188</v>
      </c>
      <c r="CTS16" t="s">
        <v>188</v>
      </c>
      <c r="CTT16" t="s">
        <v>188</v>
      </c>
      <c r="CTU16" t="s">
        <v>188</v>
      </c>
      <c r="CTV16" t="s">
        <v>188</v>
      </c>
      <c r="CTW16" t="s">
        <v>188</v>
      </c>
      <c r="CTX16" t="s">
        <v>188</v>
      </c>
      <c r="CTY16" t="s">
        <v>188</v>
      </c>
      <c r="CTZ16" t="s">
        <v>188</v>
      </c>
      <c r="CUA16" t="s">
        <v>188</v>
      </c>
      <c r="CUB16" t="s">
        <v>188</v>
      </c>
      <c r="CUC16" t="s">
        <v>188</v>
      </c>
      <c r="CUD16" t="s">
        <v>188</v>
      </c>
      <c r="CUE16" t="s">
        <v>188</v>
      </c>
      <c r="CUF16" t="s">
        <v>188</v>
      </c>
      <c r="CUG16" t="s">
        <v>188</v>
      </c>
      <c r="CUH16" t="s">
        <v>188</v>
      </c>
      <c r="CUI16" t="s">
        <v>188</v>
      </c>
      <c r="CUJ16" t="s">
        <v>188</v>
      </c>
      <c r="CUK16" t="s">
        <v>188</v>
      </c>
      <c r="CUL16" t="s">
        <v>188</v>
      </c>
      <c r="CUM16" t="s">
        <v>188</v>
      </c>
      <c r="CUN16" t="s">
        <v>188</v>
      </c>
      <c r="CUO16" t="s">
        <v>188</v>
      </c>
      <c r="CUP16" t="s">
        <v>188</v>
      </c>
      <c r="CUQ16" t="s">
        <v>188</v>
      </c>
      <c r="CUR16" t="s">
        <v>188</v>
      </c>
      <c r="CUS16" t="s">
        <v>188</v>
      </c>
      <c r="CUT16" t="s">
        <v>188</v>
      </c>
      <c r="CUU16" t="s">
        <v>188</v>
      </c>
      <c r="CUV16" t="s">
        <v>188</v>
      </c>
      <c r="CUW16" t="s">
        <v>188</v>
      </c>
      <c r="CUX16" t="s">
        <v>188</v>
      </c>
      <c r="CUY16" t="s">
        <v>188</v>
      </c>
      <c r="CUZ16" t="s">
        <v>188</v>
      </c>
      <c r="CVA16" t="s">
        <v>188</v>
      </c>
      <c r="CVB16" t="s">
        <v>188</v>
      </c>
      <c r="CVC16" t="s">
        <v>188</v>
      </c>
      <c r="CVD16" t="s">
        <v>188</v>
      </c>
      <c r="CVE16" t="s">
        <v>188</v>
      </c>
      <c r="CVF16" t="s">
        <v>188</v>
      </c>
      <c r="CVG16" t="s">
        <v>188</v>
      </c>
      <c r="CVH16" t="s">
        <v>188</v>
      </c>
      <c r="CVI16" t="s">
        <v>188</v>
      </c>
      <c r="CVJ16" t="s">
        <v>188</v>
      </c>
      <c r="CVK16" t="s">
        <v>188</v>
      </c>
      <c r="CVL16" t="s">
        <v>188</v>
      </c>
      <c r="CVM16" t="s">
        <v>188</v>
      </c>
      <c r="CVN16" t="s">
        <v>188</v>
      </c>
      <c r="CVO16" t="s">
        <v>188</v>
      </c>
      <c r="CVP16" t="s">
        <v>188</v>
      </c>
      <c r="CVQ16" t="s">
        <v>188</v>
      </c>
      <c r="CVR16" t="s">
        <v>188</v>
      </c>
      <c r="CVS16" t="s">
        <v>188</v>
      </c>
      <c r="CVT16" t="s">
        <v>188</v>
      </c>
      <c r="CVU16" t="s">
        <v>188</v>
      </c>
      <c r="CVV16" t="s">
        <v>188</v>
      </c>
      <c r="CVW16" t="s">
        <v>188</v>
      </c>
      <c r="CVX16" t="s">
        <v>188</v>
      </c>
      <c r="CVY16" t="s">
        <v>188</v>
      </c>
      <c r="CVZ16" t="s">
        <v>188</v>
      </c>
      <c r="CWA16" t="s">
        <v>188</v>
      </c>
      <c r="CWB16" t="s">
        <v>188</v>
      </c>
      <c r="CWC16" t="s">
        <v>188</v>
      </c>
      <c r="CWD16" t="s">
        <v>188</v>
      </c>
      <c r="CWE16" t="s">
        <v>188</v>
      </c>
      <c r="CWF16" t="s">
        <v>188</v>
      </c>
      <c r="CWG16" t="s">
        <v>188</v>
      </c>
      <c r="CWH16" t="s">
        <v>188</v>
      </c>
      <c r="CWI16" t="s">
        <v>188</v>
      </c>
      <c r="CWJ16" t="s">
        <v>188</v>
      </c>
      <c r="CWK16" t="s">
        <v>188</v>
      </c>
      <c r="CWL16" t="s">
        <v>188</v>
      </c>
      <c r="CWM16" t="s">
        <v>188</v>
      </c>
      <c r="CWN16" t="s">
        <v>188</v>
      </c>
      <c r="CWO16" t="s">
        <v>188</v>
      </c>
      <c r="CWP16" t="s">
        <v>188</v>
      </c>
      <c r="CWQ16" t="s">
        <v>188</v>
      </c>
      <c r="CWR16" t="s">
        <v>188</v>
      </c>
      <c r="CWS16" t="s">
        <v>188</v>
      </c>
      <c r="CWT16" t="s">
        <v>188</v>
      </c>
      <c r="CWU16" t="s">
        <v>188</v>
      </c>
      <c r="CWV16" t="s">
        <v>188</v>
      </c>
      <c r="CWW16" t="s">
        <v>188</v>
      </c>
      <c r="CWX16" t="s">
        <v>188</v>
      </c>
      <c r="CWY16" t="s">
        <v>188</v>
      </c>
      <c r="CWZ16" t="s">
        <v>188</v>
      </c>
      <c r="CXA16" t="s">
        <v>188</v>
      </c>
      <c r="CXB16" t="s">
        <v>188</v>
      </c>
      <c r="CXC16" t="s">
        <v>188</v>
      </c>
      <c r="CXD16" t="s">
        <v>188</v>
      </c>
      <c r="CXE16" t="s">
        <v>188</v>
      </c>
      <c r="CXF16" t="s">
        <v>188</v>
      </c>
      <c r="CXG16" t="s">
        <v>188</v>
      </c>
      <c r="CXH16" t="s">
        <v>188</v>
      </c>
      <c r="CXI16" t="s">
        <v>188</v>
      </c>
      <c r="CXJ16" t="s">
        <v>188</v>
      </c>
      <c r="CXK16" t="s">
        <v>188</v>
      </c>
      <c r="CXL16" t="s">
        <v>188</v>
      </c>
      <c r="CXM16" t="s">
        <v>188</v>
      </c>
      <c r="CXN16" t="s">
        <v>188</v>
      </c>
      <c r="CXO16" t="s">
        <v>188</v>
      </c>
      <c r="CXP16" t="s">
        <v>188</v>
      </c>
      <c r="CXQ16" t="s">
        <v>188</v>
      </c>
      <c r="CXR16" t="s">
        <v>188</v>
      </c>
      <c r="CXS16" t="s">
        <v>188</v>
      </c>
      <c r="CXT16" t="s">
        <v>188</v>
      </c>
      <c r="CXU16" t="s">
        <v>188</v>
      </c>
      <c r="CXV16" t="s">
        <v>188</v>
      </c>
      <c r="CXW16" t="s">
        <v>188</v>
      </c>
      <c r="CXX16" t="s">
        <v>188</v>
      </c>
      <c r="CXY16" t="s">
        <v>188</v>
      </c>
      <c r="CXZ16" t="s">
        <v>188</v>
      </c>
      <c r="CYA16" t="s">
        <v>188</v>
      </c>
      <c r="CYB16" t="s">
        <v>188</v>
      </c>
      <c r="CYC16" t="s">
        <v>188</v>
      </c>
      <c r="CYD16" t="s">
        <v>188</v>
      </c>
      <c r="CYE16" t="s">
        <v>188</v>
      </c>
      <c r="CYF16" t="s">
        <v>188</v>
      </c>
      <c r="CYG16" t="s">
        <v>188</v>
      </c>
      <c r="CYH16" t="s">
        <v>188</v>
      </c>
      <c r="CYI16" t="s">
        <v>188</v>
      </c>
      <c r="CYJ16" t="s">
        <v>188</v>
      </c>
      <c r="CYK16" t="s">
        <v>188</v>
      </c>
      <c r="CYL16" t="s">
        <v>188</v>
      </c>
      <c r="CYM16" t="s">
        <v>188</v>
      </c>
      <c r="CYN16" t="s">
        <v>188</v>
      </c>
      <c r="CYO16" t="s">
        <v>188</v>
      </c>
      <c r="CYP16" t="s">
        <v>188</v>
      </c>
      <c r="CYQ16" t="s">
        <v>188</v>
      </c>
      <c r="CYR16" t="s">
        <v>188</v>
      </c>
      <c r="CYS16" t="s">
        <v>188</v>
      </c>
      <c r="CYT16" t="s">
        <v>188</v>
      </c>
      <c r="CYU16" t="s">
        <v>188</v>
      </c>
      <c r="CYV16" t="s">
        <v>188</v>
      </c>
      <c r="CYW16" t="s">
        <v>188</v>
      </c>
      <c r="CYX16" t="s">
        <v>188</v>
      </c>
      <c r="CYY16" t="s">
        <v>188</v>
      </c>
      <c r="CYZ16" t="s">
        <v>188</v>
      </c>
      <c r="CZA16" t="s">
        <v>188</v>
      </c>
      <c r="CZB16" t="s">
        <v>188</v>
      </c>
      <c r="CZC16" t="s">
        <v>188</v>
      </c>
      <c r="CZD16" t="s">
        <v>188</v>
      </c>
      <c r="CZE16" t="s">
        <v>188</v>
      </c>
      <c r="CZF16" t="s">
        <v>188</v>
      </c>
      <c r="CZG16" t="s">
        <v>188</v>
      </c>
      <c r="CZH16" t="s">
        <v>188</v>
      </c>
      <c r="CZI16" t="s">
        <v>188</v>
      </c>
      <c r="CZJ16" t="s">
        <v>188</v>
      </c>
      <c r="CZK16" t="s">
        <v>188</v>
      </c>
      <c r="CZL16" t="s">
        <v>188</v>
      </c>
      <c r="CZM16" t="s">
        <v>188</v>
      </c>
      <c r="CZN16" t="s">
        <v>188</v>
      </c>
      <c r="CZO16" t="s">
        <v>188</v>
      </c>
      <c r="CZP16" t="s">
        <v>188</v>
      </c>
      <c r="CZQ16" t="s">
        <v>188</v>
      </c>
      <c r="CZR16" t="s">
        <v>188</v>
      </c>
      <c r="CZS16" t="s">
        <v>188</v>
      </c>
      <c r="CZT16" t="s">
        <v>188</v>
      </c>
      <c r="CZU16" t="s">
        <v>188</v>
      </c>
      <c r="CZV16" t="s">
        <v>188</v>
      </c>
      <c r="CZW16" t="s">
        <v>188</v>
      </c>
      <c r="CZX16" t="s">
        <v>188</v>
      </c>
      <c r="CZY16" t="s">
        <v>188</v>
      </c>
      <c r="CZZ16" t="s">
        <v>188</v>
      </c>
      <c r="DAA16" t="s">
        <v>188</v>
      </c>
      <c r="DAB16" t="s">
        <v>188</v>
      </c>
      <c r="DAC16" t="s">
        <v>188</v>
      </c>
      <c r="DAD16" t="s">
        <v>188</v>
      </c>
      <c r="DAE16" t="s">
        <v>188</v>
      </c>
      <c r="DAF16" t="s">
        <v>188</v>
      </c>
      <c r="DAG16" t="s">
        <v>188</v>
      </c>
      <c r="DAH16" t="s">
        <v>188</v>
      </c>
      <c r="DAI16" t="s">
        <v>188</v>
      </c>
      <c r="DAJ16" t="s">
        <v>188</v>
      </c>
      <c r="DAK16" t="s">
        <v>188</v>
      </c>
      <c r="DAL16" t="s">
        <v>188</v>
      </c>
      <c r="DAM16" t="s">
        <v>188</v>
      </c>
      <c r="DAN16" t="s">
        <v>188</v>
      </c>
      <c r="DAO16" t="s">
        <v>188</v>
      </c>
      <c r="DAP16" t="s">
        <v>188</v>
      </c>
      <c r="DAQ16" t="s">
        <v>188</v>
      </c>
      <c r="DAR16" t="s">
        <v>188</v>
      </c>
      <c r="DAS16" t="s">
        <v>188</v>
      </c>
      <c r="DAT16" t="s">
        <v>188</v>
      </c>
      <c r="DAU16" t="s">
        <v>188</v>
      </c>
      <c r="DAV16" t="s">
        <v>188</v>
      </c>
      <c r="DAW16" t="s">
        <v>188</v>
      </c>
      <c r="DAX16" t="s">
        <v>188</v>
      </c>
      <c r="DAY16" t="s">
        <v>188</v>
      </c>
      <c r="DAZ16" t="s">
        <v>188</v>
      </c>
      <c r="DBA16" t="s">
        <v>188</v>
      </c>
      <c r="DBB16" t="s">
        <v>188</v>
      </c>
      <c r="DBC16" t="s">
        <v>188</v>
      </c>
      <c r="DBD16" t="s">
        <v>188</v>
      </c>
      <c r="DBE16" t="s">
        <v>188</v>
      </c>
      <c r="DBF16" t="s">
        <v>188</v>
      </c>
      <c r="DBG16" t="s">
        <v>188</v>
      </c>
      <c r="DBH16" t="s">
        <v>188</v>
      </c>
      <c r="DBI16" t="s">
        <v>188</v>
      </c>
      <c r="DBJ16" t="s">
        <v>188</v>
      </c>
      <c r="DBK16" t="s">
        <v>188</v>
      </c>
      <c r="DBL16" t="s">
        <v>188</v>
      </c>
      <c r="DBM16" t="s">
        <v>188</v>
      </c>
      <c r="DBN16" t="s">
        <v>188</v>
      </c>
      <c r="DBO16" t="s">
        <v>188</v>
      </c>
      <c r="DBP16" t="s">
        <v>188</v>
      </c>
      <c r="DBQ16" t="s">
        <v>188</v>
      </c>
      <c r="DBR16" t="s">
        <v>188</v>
      </c>
      <c r="DBS16" t="s">
        <v>188</v>
      </c>
      <c r="DBT16" t="s">
        <v>188</v>
      </c>
      <c r="DBU16" t="s">
        <v>188</v>
      </c>
      <c r="DBV16" t="s">
        <v>188</v>
      </c>
      <c r="DBW16" t="s">
        <v>188</v>
      </c>
      <c r="DBX16" t="s">
        <v>188</v>
      </c>
      <c r="DBY16" t="s">
        <v>188</v>
      </c>
      <c r="DBZ16" t="s">
        <v>188</v>
      </c>
      <c r="DCA16" t="s">
        <v>188</v>
      </c>
      <c r="DCB16" t="s">
        <v>188</v>
      </c>
      <c r="DCC16" t="s">
        <v>188</v>
      </c>
      <c r="DCD16" t="s">
        <v>188</v>
      </c>
      <c r="DCE16" t="s">
        <v>188</v>
      </c>
      <c r="DCF16" t="s">
        <v>188</v>
      </c>
      <c r="DCG16" t="s">
        <v>188</v>
      </c>
      <c r="DCH16" t="s">
        <v>188</v>
      </c>
      <c r="DCI16" t="s">
        <v>188</v>
      </c>
      <c r="DCJ16" t="s">
        <v>188</v>
      </c>
      <c r="DCK16" t="s">
        <v>188</v>
      </c>
      <c r="DCL16" t="s">
        <v>188</v>
      </c>
      <c r="DCM16" t="s">
        <v>188</v>
      </c>
      <c r="DCN16" t="s">
        <v>188</v>
      </c>
      <c r="DCO16" t="s">
        <v>188</v>
      </c>
      <c r="DCP16" t="s">
        <v>188</v>
      </c>
      <c r="DCQ16" t="s">
        <v>188</v>
      </c>
      <c r="DCR16" t="s">
        <v>188</v>
      </c>
      <c r="DCS16" t="s">
        <v>188</v>
      </c>
      <c r="DCT16" t="s">
        <v>188</v>
      </c>
      <c r="DCU16" t="s">
        <v>188</v>
      </c>
      <c r="DCV16" t="s">
        <v>188</v>
      </c>
      <c r="DCW16" t="s">
        <v>188</v>
      </c>
      <c r="DCX16" t="s">
        <v>188</v>
      </c>
      <c r="DCY16" t="s">
        <v>188</v>
      </c>
      <c r="DCZ16" t="s">
        <v>188</v>
      </c>
      <c r="DDA16" t="s">
        <v>188</v>
      </c>
      <c r="DDB16" t="s">
        <v>188</v>
      </c>
      <c r="DDC16" t="s">
        <v>188</v>
      </c>
      <c r="DDD16" t="s">
        <v>188</v>
      </c>
      <c r="DDE16" t="s">
        <v>188</v>
      </c>
      <c r="DDF16" t="s">
        <v>188</v>
      </c>
      <c r="DDG16" t="s">
        <v>188</v>
      </c>
      <c r="DDH16" t="s">
        <v>188</v>
      </c>
      <c r="DDI16" t="s">
        <v>188</v>
      </c>
      <c r="DDJ16" t="s">
        <v>188</v>
      </c>
      <c r="DDK16" t="s">
        <v>188</v>
      </c>
      <c r="DDL16" t="s">
        <v>188</v>
      </c>
      <c r="DDM16" t="s">
        <v>188</v>
      </c>
      <c r="DDN16" t="s">
        <v>188</v>
      </c>
      <c r="DDO16" t="s">
        <v>188</v>
      </c>
      <c r="DDP16" t="s">
        <v>188</v>
      </c>
      <c r="DDQ16" t="s">
        <v>188</v>
      </c>
      <c r="DDR16" t="s">
        <v>188</v>
      </c>
      <c r="DDS16" t="s">
        <v>188</v>
      </c>
      <c r="DDT16" t="s">
        <v>188</v>
      </c>
      <c r="DDU16" t="s">
        <v>188</v>
      </c>
      <c r="DDV16" t="s">
        <v>188</v>
      </c>
      <c r="DDW16" t="s">
        <v>188</v>
      </c>
      <c r="DDX16" t="s">
        <v>188</v>
      </c>
      <c r="DDY16" t="s">
        <v>188</v>
      </c>
      <c r="DDZ16" t="s">
        <v>188</v>
      </c>
      <c r="DEA16" t="s">
        <v>188</v>
      </c>
      <c r="DEB16" t="s">
        <v>188</v>
      </c>
      <c r="DEC16" t="s">
        <v>188</v>
      </c>
      <c r="DED16" t="s">
        <v>188</v>
      </c>
      <c r="DEE16" t="s">
        <v>188</v>
      </c>
      <c r="DEF16" t="s">
        <v>188</v>
      </c>
      <c r="DEG16" t="s">
        <v>188</v>
      </c>
      <c r="DEH16" t="s">
        <v>188</v>
      </c>
      <c r="DEI16" t="s">
        <v>188</v>
      </c>
      <c r="DEJ16" t="s">
        <v>188</v>
      </c>
      <c r="DEK16" t="s">
        <v>188</v>
      </c>
      <c r="DEL16" t="s">
        <v>188</v>
      </c>
      <c r="DEM16" t="s">
        <v>188</v>
      </c>
      <c r="DEN16" t="s">
        <v>188</v>
      </c>
      <c r="DEO16" t="s">
        <v>188</v>
      </c>
      <c r="DEP16" t="s">
        <v>188</v>
      </c>
      <c r="DEQ16" t="s">
        <v>188</v>
      </c>
      <c r="DER16" t="s">
        <v>188</v>
      </c>
      <c r="DES16" t="s">
        <v>188</v>
      </c>
      <c r="DET16" t="s">
        <v>188</v>
      </c>
      <c r="DEU16" t="s">
        <v>188</v>
      </c>
      <c r="DEV16" t="s">
        <v>188</v>
      </c>
      <c r="DEW16" t="s">
        <v>188</v>
      </c>
      <c r="DEX16" t="s">
        <v>188</v>
      </c>
      <c r="DEY16" t="s">
        <v>188</v>
      </c>
      <c r="DEZ16" t="s">
        <v>188</v>
      </c>
      <c r="DFA16" t="s">
        <v>188</v>
      </c>
      <c r="DFB16" t="s">
        <v>188</v>
      </c>
      <c r="DFC16" t="s">
        <v>188</v>
      </c>
      <c r="DFD16" t="s">
        <v>188</v>
      </c>
      <c r="DFE16" t="s">
        <v>188</v>
      </c>
      <c r="DFF16" t="s">
        <v>188</v>
      </c>
      <c r="DFG16" t="s">
        <v>188</v>
      </c>
      <c r="DFH16" t="s">
        <v>188</v>
      </c>
      <c r="DFI16" t="s">
        <v>188</v>
      </c>
      <c r="DFJ16" t="s">
        <v>188</v>
      </c>
      <c r="DFK16" t="s">
        <v>188</v>
      </c>
      <c r="DFL16" t="s">
        <v>188</v>
      </c>
      <c r="DFM16" t="s">
        <v>188</v>
      </c>
      <c r="DFN16" t="s">
        <v>188</v>
      </c>
      <c r="DFO16" t="s">
        <v>188</v>
      </c>
      <c r="DFP16" t="s">
        <v>188</v>
      </c>
      <c r="DFQ16" t="s">
        <v>188</v>
      </c>
      <c r="DFR16" t="s">
        <v>188</v>
      </c>
      <c r="DFS16" t="s">
        <v>188</v>
      </c>
      <c r="DFT16" t="s">
        <v>188</v>
      </c>
      <c r="DFU16" t="s">
        <v>188</v>
      </c>
      <c r="DFV16" t="s">
        <v>188</v>
      </c>
      <c r="DFW16" t="s">
        <v>188</v>
      </c>
      <c r="DFX16" t="s">
        <v>188</v>
      </c>
      <c r="DFY16" t="s">
        <v>188</v>
      </c>
      <c r="DFZ16" t="s">
        <v>188</v>
      </c>
      <c r="DGA16" t="s">
        <v>188</v>
      </c>
      <c r="DGB16" t="s">
        <v>188</v>
      </c>
      <c r="DGC16" t="s">
        <v>188</v>
      </c>
      <c r="DGD16" t="s">
        <v>188</v>
      </c>
      <c r="DGE16" t="s">
        <v>188</v>
      </c>
      <c r="DGF16" t="s">
        <v>188</v>
      </c>
      <c r="DGG16" t="s">
        <v>188</v>
      </c>
      <c r="DGH16" t="s">
        <v>188</v>
      </c>
      <c r="DGI16" t="s">
        <v>188</v>
      </c>
      <c r="DGJ16" t="s">
        <v>188</v>
      </c>
      <c r="DGK16" t="s">
        <v>188</v>
      </c>
      <c r="DGL16" t="s">
        <v>188</v>
      </c>
      <c r="DGM16" t="s">
        <v>188</v>
      </c>
      <c r="DGN16" t="s">
        <v>188</v>
      </c>
      <c r="DGO16" t="s">
        <v>188</v>
      </c>
      <c r="DGP16" t="s">
        <v>188</v>
      </c>
      <c r="DGQ16" t="s">
        <v>188</v>
      </c>
      <c r="DGR16" t="s">
        <v>188</v>
      </c>
      <c r="DGS16" t="s">
        <v>188</v>
      </c>
      <c r="DGT16" t="s">
        <v>188</v>
      </c>
      <c r="DGU16" t="s">
        <v>188</v>
      </c>
      <c r="DGV16" t="s">
        <v>188</v>
      </c>
      <c r="DGW16" t="s">
        <v>188</v>
      </c>
      <c r="DGX16" t="s">
        <v>188</v>
      </c>
      <c r="DGY16" t="s">
        <v>188</v>
      </c>
      <c r="DGZ16" t="s">
        <v>188</v>
      </c>
      <c r="DHA16" t="s">
        <v>188</v>
      </c>
      <c r="DHB16" t="s">
        <v>188</v>
      </c>
      <c r="DHC16" t="s">
        <v>188</v>
      </c>
      <c r="DHD16" t="s">
        <v>188</v>
      </c>
      <c r="DHE16" t="s">
        <v>188</v>
      </c>
      <c r="DHF16" t="s">
        <v>188</v>
      </c>
      <c r="DHG16" t="s">
        <v>188</v>
      </c>
      <c r="DHH16" t="s">
        <v>188</v>
      </c>
      <c r="DHI16" t="s">
        <v>188</v>
      </c>
      <c r="DHJ16" t="s">
        <v>188</v>
      </c>
      <c r="DHK16" t="s">
        <v>188</v>
      </c>
      <c r="DHL16" t="s">
        <v>188</v>
      </c>
      <c r="DHM16" t="s">
        <v>188</v>
      </c>
      <c r="DHN16" t="s">
        <v>188</v>
      </c>
      <c r="DHO16" t="s">
        <v>188</v>
      </c>
      <c r="DHP16" t="s">
        <v>188</v>
      </c>
      <c r="DHQ16" t="s">
        <v>188</v>
      </c>
      <c r="DHR16" t="s">
        <v>188</v>
      </c>
      <c r="DHS16" t="s">
        <v>188</v>
      </c>
      <c r="DHT16" t="s">
        <v>188</v>
      </c>
      <c r="DHU16" t="s">
        <v>188</v>
      </c>
      <c r="DHV16" t="s">
        <v>188</v>
      </c>
      <c r="DHW16" t="s">
        <v>188</v>
      </c>
      <c r="DHX16" t="s">
        <v>188</v>
      </c>
      <c r="DHY16" t="s">
        <v>188</v>
      </c>
      <c r="DHZ16" t="s">
        <v>188</v>
      </c>
      <c r="DIA16" t="s">
        <v>188</v>
      </c>
      <c r="DIB16" t="s">
        <v>188</v>
      </c>
      <c r="DIC16" t="s">
        <v>188</v>
      </c>
      <c r="DID16" t="s">
        <v>188</v>
      </c>
      <c r="DIE16" t="s">
        <v>188</v>
      </c>
      <c r="DIF16" t="s">
        <v>188</v>
      </c>
      <c r="DIG16" t="s">
        <v>188</v>
      </c>
      <c r="DIH16" t="s">
        <v>188</v>
      </c>
      <c r="DII16" t="s">
        <v>188</v>
      </c>
      <c r="DIJ16" t="s">
        <v>188</v>
      </c>
      <c r="DIK16" t="s">
        <v>188</v>
      </c>
      <c r="DIL16" t="s">
        <v>188</v>
      </c>
      <c r="DIM16" t="s">
        <v>188</v>
      </c>
      <c r="DIN16" t="s">
        <v>188</v>
      </c>
      <c r="DIO16" t="s">
        <v>188</v>
      </c>
      <c r="DIP16" t="s">
        <v>188</v>
      </c>
      <c r="DIQ16" t="s">
        <v>188</v>
      </c>
      <c r="DIR16" t="s">
        <v>188</v>
      </c>
      <c r="DIS16" t="s">
        <v>188</v>
      </c>
      <c r="DIT16" t="s">
        <v>188</v>
      </c>
      <c r="DIU16" t="s">
        <v>188</v>
      </c>
      <c r="DIV16" t="s">
        <v>188</v>
      </c>
      <c r="DIW16" t="s">
        <v>188</v>
      </c>
      <c r="DIX16" t="s">
        <v>188</v>
      </c>
      <c r="DIY16" t="s">
        <v>188</v>
      </c>
      <c r="DIZ16" t="s">
        <v>188</v>
      </c>
      <c r="DJA16" t="s">
        <v>188</v>
      </c>
      <c r="DJB16" t="s">
        <v>188</v>
      </c>
      <c r="DJC16" t="s">
        <v>188</v>
      </c>
      <c r="DJD16" t="s">
        <v>188</v>
      </c>
      <c r="DJE16" t="s">
        <v>188</v>
      </c>
      <c r="DJF16" t="s">
        <v>188</v>
      </c>
      <c r="DJG16" t="s">
        <v>188</v>
      </c>
      <c r="DJH16" t="s">
        <v>188</v>
      </c>
      <c r="DJI16" t="s">
        <v>188</v>
      </c>
      <c r="DJJ16" t="s">
        <v>188</v>
      </c>
      <c r="DJK16" t="s">
        <v>188</v>
      </c>
      <c r="DJL16" t="s">
        <v>188</v>
      </c>
      <c r="DJM16" t="s">
        <v>188</v>
      </c>
      <c r="DJN16" t="s">
        <v>188</v>
      </c>
      <c r="DJO16" t="s">
        <v>188</v>
      </c>
      <c r="DJP16" t="s">
        <v>188</v>
      </c>
      <c r="DJQ16" t="s">
        <v>188</v>
      </c>
      <c r="DJR16" t="s">
        <v>188</v>
      </c>
      <c r="DJS16" t="s">
        <v>188</v>
      </c>
      <c r="DJT16" t="s">
        <v>188</v>
      </c>
      <c r="DJU16" t="s">
        <v>188</v>
      </c>
      <c r="DJV16" t="s">
        <v>188</v>
      </c>
      <c r="DJW16" t="s">
        <v>188</v>
      </c>
      <c r="DJX16" t="s">
        <v>188</v>
      </c>
      <c r="DJY16" t="s">
        <v>188</v>
      </c>
      <c r="DJZ16" t="s">
        <v>188</v>
      </c>
      <c r="DKA16" t="s">
        <v>188</v>
      </c>
      <c r="DKB16" t="s">
        <v>188</v>
      </c>
      <c r="DKC16" t="s">
        <v>188</v>
      </c>
      <c r="DKD16" t="s">
        <v>188</v>
      </c>
      <c r="DKE16" t="s">
        <v>188</v>
      </c>
      <c r="DKF16" t="s">
        <v>188</v>
      </c>
      <c r="DKG16" t="s">
        <v>188</v>
      </c>
      <c r="DKH16" t="s">
        <v>188</v>
      </c>
      <c r="DKI16" t="s">
        <v>188</v>
      </c>
      <c r="DKJ16" t="s">
        <v>188</v>
      </c>
      <c r="DKK16" t="s">
        <v>188</v>
      </c>
      <c r="DKL16" t="s">
        <v>188</v>
      </c>
      <c r="DKM16" t="s">
        <v>188</v>
      </c>
      <c r="DKN16" t="s">
        <v>188</v>
      </c>
      <c r="DKO16" t="s">
        <v>188</v>
      </c>
      <c r="DKP16" t="s">
        <v>188</v>
      </c>
      <c r="DKQ16" t="s">
        <v>188</v>
      </c>
      <c r="DKR16" t="s">
        <v>188</v>
      </c>
      <c r="DKS16" t="s">
        <v>188</v>
      </c>
      <c r="DKT16" t="s">
        <v>188</v>
      </c>
      <c r="DKU16" t="s">
        <v>188</v>
      </c>
      <c r="DKV16" t="s">
        <v>188</v>
      </c>
      <c r="DKW16" t="s">
        <v>188</v>
      </c>
      <c r="DKX16" t="s">
        <v>188</v>
      </c>
      <c r="DKY16" t="s">
        <v>188</v>
      </c>
      <c r="DKZ16" t="s">
        <v>188</v>
      </c>
      <c r="DLA16" t="s">
        <v>188</v>
      </c>
      <c r="DLB16" t="s">
        <v>188</v>
      </c>
      <c r="DLC16" t="s">
        <v>188</v>
      </c>
      <c r="DLD16" t="s">
        <v>188</v>
      </c>
      <c r="DLE16" t="s">
        <v>188</v>
      </c>
      <c r="DLF16" t="s">
        <v>188</v>
      </c>
      <c r="DLG16" t="s">
        <v>188</v>
      </c>
      <c r="DLH16" t="s">
        <v>188</v>
      </c>
      <c r="DLI16" t="s">
        <v>188</v>
      </c>
      <c r="DLJ16" t="s">
        <v>188</v>
      </c>
      <c r="DLK16" t="s">
        <v>188</v>
      </c>
      <c r="DLL16" t="s">
        <v>188</v>
      </c>
      <c r="DLM16" t="s">
        <v>188</v>
      </c>
      <c r="DLN16" t="s">
        <v>188</v>
      </c>
      <c r="DLO16" t="s">
        <v>188</v>
      </c>
      <c r="DLP16" t="s">
        <v>188</v>
      </c>
      <c r="DLQ16" t="s">
        <v>188</v>
      </c>
      <c r="DLR16" t="s">
        <v>188</v>
      </c>
      <c r="DLS16" t="s">
        <v>188</v>
      </c>
      <c r="DLT16" t="s">
        <v>188</v>
      </c>
      <c r="DLU16" t="s">
        <v>188</v>
      </c>
      <c r="DLV16" t="s">
        <v>188</v>
      </c>
      <c r="DLW16" t="s">
        <v>188</v>
      </c>
      <c r="DLX16" t="s">
        <v>188</v>
      </c>
      <c r="DLY16" t="s">
        <v>188</v>
      </c>
      <c r="DLZ16" t="s">
        <v>188</v>
      </c>
      <c r="DMA16" t="s">
        <v>188</v>
      </c>
      <c r="DMB16" t="s">
        <v>188</v>
      </c>
      <c r="DMC16" t="s">
        <v>188</v>
      </c>
      <c r="DMD16" t="s">
        <v>188</v>
      </c>
      <c r="DME16" t="s">
        <v>188</v>
      </c>
      <c r="DMF16" t="s">
        <v>188</v>
      </c>
      <c r="DMG16" t="s">
        <v>188</v>
      </c>
      <c r="DMH16" t="s">
        <v>188</v>
      </c>
      <c r="DMI16" t="s">
        <v>188</v>
      </c>
      <c r="DMJ16" t="s">
        <v>188</v>
      </c>
      <c r="DMK16" t="s">
        <v>188</v>
      </c>
      <c r="DML16" t="s">
        <v>188</v>
      </c>
      <c r="DMM16" t="s">
        <v>188</v>
      </c>
      <c r="DMN16" t="s">
        <v>188</v>
      </c>
      <c r="DMO16" t="s">
        <v>188</v>
      </c>
      <c r="DMP16" t="s">
        <v>188</v>
      </c>
      <c r="DMQ16" t="s">
        <v>188</v>
      </c>
      <c r="DMR16" t="s">
        <v>188</v>
      </c>
      <c r="DMS16" t="s">
        <v>188</v>
      </c>
      <c r="DMT16" t="s">
        <v>188</v>
      </c>
      <c r="DMU16" t="s">
        <v>188</v>
      </c>
      <c r="DMV16" t="s">
        <v>188</v>
      </c>
      <c r="DMW16" t="s">
        <v>188</v>
      </c>
      <c r="DMX16" t="s">
        <v>188</v>
      </c>
      <c r="DMY16" t="s">
        <v>188</v>
      </c>
      <c r="DMZ16" t="s">
        <v>188</v>
      </c>
      <c r="DNA16" t="s">
        <v>188</v>
      </c>
      <c r="DNB16" t="s">
        <v>188</v>
      </c>
      <c r="DNC16" t="s">
        <v>188</v>
      </c>
      <c r="DND16" t="s">
        <v>188</v>
      </c>
      <c r="DNE16" t="s">
        <v>188</v>
      </c>
      <c r="DNF16" t="s">
        <v>188</v>
      </c>
      <c r="DNG16" t="s">
        <v>188</v>
      </c>
      <c r="DNH16" t="s">
        <v>188</v>
      </c>
      <c r="DNI16" t="s">
        <v>188</v>
      </c>
      <c r="DNJ16" t="s">
        <v>188</v>
      </c>
      <c r="DNK16" t="s">
        <v>188</v>
      </c>
      <c r="DNL16" t="s">
        <v>188</v>
      </c>
      <c r="DNM16" t="s">
        <v>188</v>
      </c>
      <c r="DNN16" t="s">
        <v>188</v>
      </c>
      <c r="DNO16" t="s">
        <v>188</v>
      </c>
      <c r="DNP16" t="s">
        <v>188</v>
      </c>
      <c r="DNQ16" t="s">
        <v>188</v>
      </c>
      <c r="DNR16" t="s">
        <v>188</v>
      </c>
      <c r="DNS16" t="s">
        <v>188</v>
      </c>
      <c r="DNT16" t="s">
        <v>188</v>
      </c>
      <c r="DNU16" t="s">
        <v>188</v>
      </c>
      <c r="DNV16" t="s">
        <v>188</v>
      </c>
      <c r="DNW16" t="s">
        <v>188</v>
      </c>
      <c r="DNX16" t="s">
        <v>188</v>
      </c>
      <c r="DNY16" t="s">
        <v>188</v>
      </c>
      <c r="DNZ16" t="s">
        <v>188</v>
      </c>
      <c r="DOA16" t="s">
        <v>188</v>
      </c>
      <c r="DOB16" t="s">
        <v>188</v>
      </c>
      <c r="DOC16" t="s">
        <v>188</v>
      </c>
      <c r="DOD16" t="s">
        <v>188</v>
      </c>
      <c r="DOE16" t="s">
        <v>188</v>
      </c>
      <c r="DOF16" t="s">
        <v>188</v>
      </c>
      <c r="DOG16" t="s">
        <v>188</v>
      </c>
      <c r="DOH16" t="s">
        <v>188</v>
      </c>
      <c r="DOI16" t="s">
        <v>188</v>
      </c>
      <c r="DOJ16" t="s">
        <v>188</v>
      </c>
      <c r="DOK16" t="s">
        <v>188</v>
      </c>
      <c r="DOL16" t="s">
        <v>188</v>
      </c>
      <c r="DOM16" t="s">
        <v>188</v>
      </c>
      <c r="DON16" t="s">
        <v>188</v>
      </c>
      <c r="DOO16" t="s">
        <v>188</v>
      </c>
      <c r="DOP16" t="s">
        <v>188</v>
      </c>
      <c r="DOQ16" t="s">
        <v>188</v>
      </c>
      <c r="DOR16" t="s">
        <v>188</v>
      </c>
      <c r="DOS16" t="s">
        <v>188</v>
      </c>
      <c r="DOT16" t="s">
        <v>188</v>
      </c>
      <c r="DOU16" t="s">
        <v>188</v>
      </c>
      <c r="DOV16" t="s">
        <v>188</v>
      </c>
      <c r="DOW16" t="s">
        <v>188</v>
      </c>
      <c r="DOX16" t="s">
        <v>188</v>
      </c>
      <c r="DOY16" t="s">
        <v>188</v>
      </c>
      <c r="DOZ16" t="s">
        <v>188</v>
      </c>
      <c r="DPA16" t="s">
        <v>188</v>
      </c>
      <c r="DPB16" t="s">
        <v>188</v>
      </c>
      <c r="DPC16" t="s">
        <v>188</v>
      </c>
      <c r="DPD16" t="s">
        <v>188</v>
      </c>
      <c r="DPE16" t="s">
        <v>188</v>
      </c>
      <c r="DPF16" t="s">
        <v>188</v>
      </c>
      <c r="DPG16" t="s">
        <v>188</v>
      </c>
      <c r="DPH16" t="s">
        <v>188</v>
      </c>
      <c r="DPI16" t="s">
        <v>188</v>
      </c>
      <c r="DPJ16" t="s">
        <v>188</v>
      </c>
      <c r="DPK16" t="s">
        <v>188</v>
      </c>
      <c r="DPL16" t="s">
        <v>188</v>
      </c>
      <c r="DPM16" t="s">
        <v>188</v>
      </c>
      <c r="DPN16" t="s">
        <v>188</v>
      </c>
      <c r="DPO16" t="s">
        <v>188</v>
      </c>
      <c r="DPP16" t="s">
        <v>188</v>
      </c>
      <c r="DPQ16" t="s">
        <v>188</v>
      </c>
      <c r="DPR16" t="s">
        <v>188</v>
      </c>
      <c r="DPS16" t="s">
        <v>188</v>
      </c>
      <c r="DPT16" t="s">
        <v>188</v>
      </c>
      <c r="DPU16" t="s">
        <v>188</v>
      </c>
      <c r="DPV16" t="s">
        <v>188</v>
      </c>
      <c r="DPW16" t="s">
        <v>188</v>
      </c>
      <c r="DPX16" t="s">
        <v>188</v>
      </c>
      <c r="DPY16" t="s">
        <v>188</v>
      </c>
      <c r="DPZ16" t="s">
        <v>188</v>
      </c>
      <c r="DQA16" t="s">
        <v>188</v>
      </c>
      <c r="DQB16" t="s">
        <v>188</v>
      </c>
      <c r="DQC16" t="s">
        <v>188</v>
      </c>
      <c r="DQD16" t="s">
        <v>188</v>
      </c>
      <c r="DQE16" t="s">
        <v>188</v>
      </c>
      <c r="DQF16" t="s">
        <v>188</v>
      </c>
      <c r="DQG16" t="s">
        <v>188</v>
      </c>
      <c r="DQH16" t="s">
        <v>188</v>
      </c>
      <c r="DQI16" t="s">
        <v>188</v>
      </c>
      <c r="DQJ16" t="s">
        <v>188</v>
      </c>
      <c r="DQK16" t="s">
        <v>188</v>
      </c>
      <c r="DQL16" t="s">
        <v>188</v>
      </c>
      <c r="DQM16" t="s">
        <v>188</v>
      </c>
      <c r="DQN16" t="s">
        <v>188</v>
      </c>
      <c r="DQO16" t="s">
        <v>188</v>
      </c>
      <c r="DQP16" t="s">
        <v>188</v>
      </c>
      <c r="DQQ16" t="s">
        <v>188</v>
      </c>
      <c r="DQR16" t="s">
        <v>188</v>
      </c>
      <c r="DQS16" t="s">
        <v>188</v>
      </c>
      <c r="DQT16" t="s">
        <v>188</v>
      </c>
      <c r="DQU16" t="s">
        <v>188</v>
      </c>
      <c r="DQV16" t="s">
        <v>188</v>
      </c>
      <c r="DQW16" t="s">
        <v>188</v>
      </c>
      <c r="DQX16" t="s">
        <v>188</v>
      </c>
      <c r="DQY16" t="s">
        <v>188</v>
      </c>
      <c r="DQZ16" t="s">
        <v>188</v>
      </c>
      <c r="DRA16" t="s">
        <v>188</v>
      </c>
      <c r="DRB16" t="s">
        <v>188</v>
      </c>
      <c r="DRC16" t="s">
        <v>188</v>
      </c>
      <c r="DRD16" t="s">
        <v>188</v>
      </c>
      <c r="DRE16" t="s">
        <v>188</v>
      </c>
      <c r="DRF16" t="s">
        <v>188</v>
      </c>
      <c r="DRG16" t="s">
        <v>188</v>
      </c>
      <c r="DRH16" t="s">
        <v>188</v>
      </c>
      <c r="DRI16" t="s">
        <v>188</v>
      </c>
      <c r="DRJ16" t="s">
        <v>188</v>
      </c>
      <c r="DRK16" t="s">
        <v>188</v>
      </c>
      <c r="DRL16" t="s">
        <v>188</v>
      </c>
      <c r="DRM16" t="s">
        <v>188</v>
      </c>
      <c r="DRN16" t="s">
        <v>188</v>
      </c>
      <c r="DRO16" t="s">
        <v>188</v>
      </c>
      <c r="DRP16" t="s">
        <v>188</v>
      </c>
      <c r="DRQ16" t="s">
        <v>188</v>
      </c>
      <c r="DRR16" t="s">
        <v>188</v>
      </c>
      <c r="DRS16" t="s">
        <v>188</v>
      </c>
      <c r="DRT16" t="s">
        <v>188</v>
      </c>
      <c r="DRU16" t="s">
        <v>188</v>
      </c>
      <c r="DRV16" t="s">
        <v>188</v>
      </c>
      <c r="DRW16" t="s">
        <v>188</v>
      </c>
      <c r="DRX16" t="s">
        <v>188</v>
      </c>
      <c r="DRY16" t="s">
        <v>188</v>
      </c>
      <c r="DRZ16" t="s">
        <v>188</v>
      </c>
      <c r="DSA16" t="s">
        <v>188</v>
      </c>
      <c r="DSB16" t="s">
        <v>188</v>
      </c>
      <c r="DSC16" t="s">
        <v>188</v>
      </c>
      <c r="DSD16" t="s">
        <v>188</v>
      </c>
      <c r="DSE16" t="s">
        <v>188</v>
      </c>
      <c r="DSF16" t="s">
        <v>188</v>
      </c>
      <c r="DSG16" t="s">
        <v>188</v>
      </c>
      <c r="DSH16" t="s">
        <v>188</v>
      </c>
      <c r="DSI16" t="s">
        <v>188</v>
      </c>
      <c r="DSJ16" t="s">
        <v>188</v>
      </c>
      <c r="DSK16" t="s">
        <v>188</v>
      </c>
      <c r="DSL16" t="s">
        <v>188</v>
      </c>
      <c r="DSM16" t="s">
        <v>188</v>
      </c>
      <c r="DSN16" t="s">
        <v>188</v>
      </c>
      <c r="DSO16" t="s">
        <v>188</v>
      </c>
      <c r="DSP16" t="s">
        <v>188</v>
      </c>
      <c r="DSQ16" t="s">
        <v>188</v>
      </c>
      <c r="DSR16" t="s">
        <v>188</v>
      </c>
      <c r="DSS16" t="s">
        <v>188</v>
      </c>
      <c r="DST16" t="s">
        <v>188</v>
      </c>
      <c r="DSU16" t="s">
        <v>188</v>
      </c>
      <c r="DSV16" t="s">
        <v>188</v>
      </c>
      <c r="DSW16" t="s">
        <v>188</v>
      </c>
      <c r="DSX16" t="s">
        <v>188</v>
      </c>
      <c r="DSY16" t="s">
        <v>188</v>
      </c>
      <c r="DSZ16" t="s">
        <v>188</v>
      </c>
      <c r="DTA16" t="s">
        <v>188</v>
      </c>
      <c r="DTB16" t="s">
        <v>188</v>
      </c>
      <c r="DTC16" t="s">
        <v>188</v>
      </c>
      <c r="DTD16" t="s">
        <v>188</v>
      </c>
      <c r="DTE16" t="s">
        <v>188</v>
      </c>
      <c r="DTF16" t="s">
        <v>188</v>
      </c>
      <c r="DTG16" t="s">
        <v>188</v>
      </c>
      <c r="DTH16" t="s">
        <v>188</v>
      </c>
      <c r="DTI16" t="s">
        <v>188</v>
      </c>
      <c r="DTJ16" t="s">
        <v>188</v>
      </c>
      <c r="DTK16" t="s">
        <v>188</v>
      </c>
      <c r="DTL16" t="s">
        <v>188</v>
      </c>
      <c r="DTM16" t="s">
        <v>188</v>
      </c>
      <c r="DTN16" t="s">
        <v>188</v>
      </c>
      <c r="DTO16" t="s">
        <v>188</v>
      </c>
      <c r="DTP16" t="s">
        <v>188</v>
      </c>
      <c r="DTQ16" t="s">
        <v>188</v>
      </c>
      <c r="DTR16" t="s">
        <v>188</v>
      </c>
      <c r="DTS16" t="s">
        <v>188</v>
      </c>
      <c r="DTT16" t="s">
        <v>188</v>
      </c>
      <c r="DTU16" t="s">
        <v>188</v>
      </c>
      <c r="DTV16" t="s">
        <v>188</v>
      </c>
      <c r="DTW16" t="s">
        <v>188</v>
      </c>
      <c r="DTX16" t="s">
        <v>188</v>
      </c>
      <c r="DTY16" t="s">
        <v>188</v>
      </c>
      <c r="DTZ16" t="s">
        <v>188</v>
      </c>
      <c r="DUA16" t="s">
        <v>188</v>
      </c>
      <c r="DUB16" t="s">
        <v>188</v>
      </c>
      <c r="DUC16" t="s">
        <v>188</v>
      </c>
      <c r="DUD16" t="s">
        <v>188</v>
      </c>
      <c r="DUE16" t="s">
        <v>188</v>
      </c>
      <c r="DUF16" t="s">
        <v>188</v>
      </c>
      <c r="DUG16" t="s">
        <v>188</v>
      </c>
      <c r="DUH16" t="s">
        <v>188</v>
      </c>
      <c r="DUI16" t="s">
        <v>188</v>
      </c>
      <c r="DUJ16" t="s">
        <v>188</v>
      </c>
      <c r="DUK16" t="s">
        <v>188</v>
      </c>
      <c r="DUL16" t="s">
        <v>188</v>
      </c>
      <c r="DUM16" t="s">
        <v>188</v>
      </c>
      <c r="DUN16" t="s">
        <v>188</v>
      </c>
      <c r="DUO16" t="s">
        <v>188</v>
      </c>
      <c r="DUP16" t="s">
        <v>188</v>
      </c>
      <c r="DUQ16" t="s">
        <v>188</v>
      </c>
      <c r="DUR16" t="s">
        <v>188</v>
      </c>
      <c r="DUS16" t="s">
        <v>188</v>
      </c>
      <c r="DUT16" t="s">
        <v>188</v>
      </c>
      <c r="DUU16" t="s">
        <v>188</v>
      </c>
      <c r="DUV16" t="s">
        <v>188</v>
      </c>
      <c r="DUW16" t="s">
        <v>188</v>
      </c>
      <c r="DUX16" t="s">
        <v>188</v>
      </c>
      <c r="DUY16" t="s">
        <v>188</v>
      </c>
      <c r="DUZ16" t="s">
        <v>188</v>
      </c>
      <c r="DVA16" t="s">
        <v>188</v>
      </c>
      <c r="DVB16" t="s">
        <v>188</v>
      </c>
      <c r="DVC16" t="s">
        <v>188</v>
      </c>
      <c r="DVD16" t="s">
        <v>188</v>
      </c>
      <c r="DVE16" t="s">
        <v>188</v>
      </c>
      <c r="DVF16" t="s">
        <v>188</v>
      </c>
      <c r="DVG16" t="s">
        <v>188</v>
      </c>
      <c r="DVH16" t="s">
        <v>188</v>
      </c>
      <c r="DVI16" t="s">
        <v>188</v>
      </c>
      <c r="DVJ16" t="s">
        <v>188</v>
      </c>
      <c r="DVK16" t="s">
        <v>188</v>
      </c>
      <c r="DVL16" t="s">
        <v>188</v>
      </c>
      <c r="DVM16" t="s">
        <v>188</v>
      </c>
      <c r="DVN16" t="s">
        <v>188</v>
      </c>
      <c r="DVO16" t="s">
        <v>188</v>
      </c>
      <c r="DVP16" t="s">
        <v>188</v>
      </c>
      <c r="DVQ16" t="s">
        <v>188</v>
      </c>
      <c r="DVR16" t="s">
        <v>188</v>
      </c>
      <c r="DVS16" t="s">
        <v>188</v>
      </c>
      <c r="DVT16" t="s">
        <v>188</v>
      </c>
      <c r="DVU16" t="s">
        <v>188</v>
      </c>
      <c r="DVV16" t="s">
        <v>188</v>
      </c>
      <c r="DVW16" t="s">
        <v>188</v>
      </c>
      <c r="DVX16" t="s">
        <v>188</v>
      </c>
      <c r="DVY16" t="s">
        <v>188</v>
      </c>
      <c r="DVZ16" t="s">
        <v>188</v>
      </c>
      <c r="DWA16" t="s">
        <v>188</v>
      </c>
      <c r="DWB16" t="s">
        <v>188</v>
      </c>
      <c r="DWC16" t="s">
        <v>188</v>
      </c>
      <c r="DWD16" t="s">
        <v>188</v>
      </c>
      <c r="DWE16" t="s">
        <v>188</v>
      </c>
      <c r="DWF16" t="s">
        <v>188</v>
      </c>
      <c r="DWG16" t="s">
        <v>188</v>
      </c>
      <c r="DWH16" t="s">
        <v>188</v>
      </c>
      <c r="DWI16" t="s">
        <v>188</v>
      </c>
      <c r="DWJ16" t="s">
        <v>188</v>
      </c>
      <c r="DWK16" t="s">
        <v>188</v>
      </c>
      <c r="DWL16" t="s">
        <v>188</v>
      </c>
      <c r="DWM16" t="s">
        <v>188</v>
      </c>
      <c r="DWN16" t="s">
        <v>188</v>
      </c>
      <c r="DWO16" t="s">
        <v>188</v>
      </c>
      <c r="DWP16" t="s">
        <v>188</v>
      </c>
      <c r="DWQ16" t="s">
        <v>188</v>
      </c>
      <c r="DWR16" t="s">
        <v>188</v>
      </c>
      <c r="DWS16" t="s">
        <v>188</v>
      </c>
      <c r="DWT16" t="s">
        <v>188</v>
      </c>
      <c r="DWU16" t="s">
        <v>188</v>
      </c>
      <c r="DWV16" t="s">
        <v>188</v>
      </c>
      <c r="DWW16" t="s">
        <v>188</v>
      </c>
      <c r="DWX16" t="s">
        <v>188</v>
      </c>
      <c r="DWY16" t="s">
        <v>188</v>
      </c>
      <c r="DWZ16" t="s">
        <v>188</v>
      </c>
      <c r="DXA16" t="s">
        <v>188</v>
      </c>
      <c r="DXB16" t="s">
        <v>188</v>
      </c>
      <c r="DXC16" t="s">
        <v>188</v>
      </c>
      <c r="DXD16" t="s">
        <v>188</v>
      </c>
      <c r="DXE16" t="s">
        <v>188</v>
      </c>
      <c r="DXF16" t="s">
        <v>188</v>
      </c>
      <c r="DXG16" t="s">
        <v>188</v>
      </c>
      <c r="DXH16" t="s">
        <v>188</v>
      </c>
      <c r="DXI16" t="s">
        <v>188</v>
      </c>
      <c r="DXJ16" t="s">
        <v>188</v>
      </c>
      <c r="DXK16" t="s">
        <v>188</v>
      </c>
      <c r="DXL16" t="s">
        <v>188</v>
      </c>
      <c r="DXM16" t="s">
        <v>188</v>
      </c>
      <c r="DXN16" t="s">
        <v>188</v>
      </c>
      <c r="DXO16" t="s">
        <v>188</v>
      </c>
      <c r="DXP16" t="s">
        <v>188</v>
      </c>
      <c r="DXQ16" t="s">
        <v>188</v>
      </c>
      <c r="DXR16" t="s">
        <v>188</v>
      </c>
      <c r="DXS16" t="s">
        <v>188</v>
      </c>
      <c r="DXT16" t="s">
        <v>188</v>
      </c>
      <c r="DXU16" t="s">
        <v>188</v>
      </c>
      <c r="DXV16" t="s">
        <v>188</v>
      </c>
      <c r="DXW16" t="s">
        <v>188</v>
      </c>
      <c r="DXX16" t="s">
        <v>188</v>
      </c>
      <c r="DXY16" t="s">
        <v>188</v>
      </c>
      <c r="DXZ16" t="s">
        <v>188</v>
      </c>
      <c r="DYA16" t="s">
        <v>188</v>
      </c>
      <c r="DYB16" t="s">
        <v>188</v>
      </c>
      <c r="DYC16" t="s">
        <v>188</v>
      </c>
      <c r="DYD16" t="s">
        <v>188</v>
      </c>
      <c r="DYE16" t="s">
        <v>188</v>
      </c>
      <c r="DYF16" t="s">
        <v>188</v>
      </c>
      <c r="DYG16" t="s">
        <v>188</v>
      </c>
      <c r="DYH16" t="s">
        <v>188</v>
      </c>
      <c r="DYI16" t="s">
        <v>188</v>
      </c>
      <c r="DYJ16" t="s">
        <v>188</v>
      </c>
      <c r="DYK16" t="s">
        <v>188</v>
      </c>
      <c r="DYL16" t="s">
        <v>188</v>
      </c>
      <c r="DYM16" t="s">
        <v>188</v>
      </c>
      <c r="DYN16" t="s">
        <v>188</v>
      </c>
      <c r="DYO16" t="s">
        <v>188</v>
      </c>
      <c r="DYP16" t="s">
        <v>188</v>
      </c>
      <c r="DYQ16" t="s">
        <v>188</v>
      </c>
      <c r="DYR16" t="s">
        <v>188</v>
      </c>
      <c r="DYS16" t="s">
        <v>188</v>
      </c>
      <c r="DYT16" t="s">
        <v>188</v>
      </c>
      <c r="DYU16" t="s">
        <v>188</v>
      </c>
      <c r="DYV16" t="s">
        <v>188</v>
      </c>
      <c r="DYW16" t="s">
        <v>188</v>
      </c>
      <c r="DYX16" t="s">
        <v>188</v>
      </c>
      <c r="DYY16" t="s">
        <v>188</v>
      </c>
      <c r="DYZ16" t="s">
        <v>188</v>
      </c>
      <c r="DZA16" t="s">
        <v>188</v>
      </c>
      <c r="DZB16" t="s">
        <v>188</v>
      </c>
      <c r="DZC16" t="s">
        <v>188</v>
      </c>
      <c r="DZD16" t="s">
        <v>188</v>
      </c>
      <c r="DZE16" t="s">
        <v>188</v>
      </c>
      <c r="DZF16" t="s">
        <v>188</v>
      </c>
      <c r="DZG16" t="s">
        <v>188</v>
      </c>
      <c r="DZH16" t="s">
        <v>188</v>
      </c>
      <c r="DZI16" t="s">
        <v>188</v>
      </c>
      <c r="DZJ16" t="s">
        <v>188</v>
      </c>
      <c r="DZK16" t="s">
        <v>188</v>
      </c>
      <c r="DZL16" t="s">
        <v>188</v>
      </c>
      <c r="DZM16" t="s">
        <v>188</v>
      </c>
      <c r="DZN16" t="s">
        <v>188</v>
      </c>
      <c r="DZO16" t="s">
        <v>188</v>
      </c>
      <c r="DZP16" t="s">
        <v>188</v>
      </c>
      <c r="DZQ16" t="s">
        <v>188</v>
      </c>
      <c r="DZR16" t="s">
        <v>188</v>
      </c>
      <c r="DZS16" t="s">
        <v>188</v>
      </c>
      <c r="DZT16" t="s">
        <v>188</v>
      </c>
      <c r="DZU16" t="s">
        <v>188</v>
      </c>
      <c r="DZV16" t="s">
        <v>188</v>
      </c>
      <c r="DZW16" t="s">
        <v>188</v>
      </c>
      <c r="DZX16" t="s">
        <v>188</v>
      </c>
      <c r="DZY16" t="s">
        <v>188</v>
      </c>
      <c r="DZZ16" t="s">
        <v>188</v>
      </c>
      <c r="EAA16" t="s">
        <v>188</v>
      </c>
      <c r="EAB16" t="s">
        <v>188</v>
      </c>
      <c r="EAC16" t="s">
        <v>188</v>
      </c>
      <c r="EAD16" t="s">
        <v>188</v>
      </c>
      <c r="EAE16" t="s">
        <v>188</v>
      </c>
      <c r="EAF16" t="s">
        <v>188</v>
      </c>
      <c r="EAG16" t="s">
        <v>188</v>
      </c>
      <c r="EAH16" t="s">
        <v>188</v>
      </c>
      <c r="EAI16" t="s">
        <v>188</v>
      </c>
      <c r="EAJ16" t="s">
        <v>188</v>
      </c>
      <c r="EAK16" t="s">
        <v>188</v>
      </c>
      <c r="EAL16" t="s">
        <v>188</v>
      </c>
      <c r="EAM16" t="s">
        <v>188</v>
      </c>
      <c r="EAN16" t="s">
        <v>188</v>
      </c>
      <c r="EAO16" t="s">
        <v>188</v>
      </c>
      <c r="EAP16" t="s">
        <v>188</v>
      </c>
      <c r="EAQ16" t="s">
        <v>188</v>
      </c>
      <c r="EAR16" t="s">
        <v>188</v>
      </c>
      <c r="EAS16" t="s">
        <v>188</v>
      </c>
      <c r="EAT16" t="s">
        <v>188</v>
      </c>
      <c r="EAU16" t="s">
        <v>188</v>
      </c>
      <c r="EAV16" t="s">
        <v>188</v>
      </c>
      <c r="EAW16" t="s">
        <v>188</v>
      </c>
      <c r="EAX16" t="s">
        <v>188</v>
      </c>
      <c r="EAY16" t="s">
        <v>188</v>
      </c>
      <c r="EAZ16" t="s">
        <v>188</v>
      </c>
      <c r="EBA16" t="s">
        <v>188</v>
      </c>
      <c r="EBB16" t="s">
        <v>188</v>
      </c>
      <c r="EBC16" t="s">
        <v>188</v>
      </c>
      <c r="EBD16" t="s">
        <v>188</v>
      </c>
      <c r="EBE16" t="s">
        <v>188</v>
      </c>
      <c r="EBF16" t="s">
        <v>188</v>
      </c>
      <c r="EBG16" t="s">
        <v>188</v>
      </c>
      <c r="EBH16" t="s">
        <v>188</v>
      </c>
      <c r="EBI16" t="s">
        <v>188</v>
      </c>
      <c r="EBJ16" t="s">
        <v>188</v>
      </c>
      <c r="EBK16" t="s">
        <v>188</v>
      </c>
      <c r="EBL16" t="s">
        <v>188</v>
      </c>
      <c r="EBM16" t="s">
        <v>188</v>
      </c>
      <c r="EBN16" t="s">
        <v>188</v>
      </c>
      <c r="EBO16" t="s">
        <v>188</v>
      </c>
      <c r="EBP16" t="s">
        <v>188</v>
      </c>
      <c r="EBQ16" t="s">
        <v>188</v>
      </c>
      <c r="EBR16" t="s">
        <v>188</v>
      </c>
      <c r="EBS16" t="s">
        <v>188</v>
      </c>
      <c r="EBT16" t="s">
        <v>188</v>
      </c>
      <c r="EBU16" t="s">
        <v>188</v>
      </c>
      <c r="EBV16" t="s">
        <v>188</v>
      </c>
      <c r="EBW16" t="s">
        <v>188</v>
      </c>
      <c r="EBX16" t="s">
        <v>188</v>
      </c>
      <c r="EBY16" t="s">
        <v>188</v>
      </c>
      <c r="EBZ16" t="s">
        <v>188</v>
      </c>
      <c r="ECA16" t="s">
        <v>188</v>
      </c>
      <c r="ECB16" t="s">
        <v>188</v>
      </c>
      <c r="ECC16" t="s">
        <v>188</v>
      </c>
      <c r="ECD16" t="s">
        <v>188</v>
      </c>
      <c r="ECE16" t="s">
        <v>188</v>
      </c>
      <c r="ECF16" t="s">
        <v>188</v>
      </c>
      <c r="ECG16" t="s">
        <v>188</v>
      </c>
      <c r="ECH16" t="s">
        <v>188</v>
      </c>
      <c r="ECI16" t="s">
        <v>188</v>
      </c>
      <c r="ECJ16" t="s">
        <v>188</v>
      </c>
      <c r="ECK16" t="s">
        <v>188</v>
      </c>
      <c r="ECL16" t="s">
        <v>188</v>
      </c>
      <c r="ECM16" t="s">
        <v>188</v>
      </c>
      <c r="ECN16" t="s">
        <v>188</v>
      </c>
      <c r="ECO16" t="s">
        <v>188</v>
      </c>
      <c r="ECP16" t="s">
        <v>188</v>
      </c>
      <c r="ECQ16" t="s">
        <v>188</v>
      </c>
      <c r="ECR16" t="s">
        <v>188</v>
      </c>
      <c r="ECS16" t="s">
        <v>188</v>
      </c>
      <c r="ECT16" t="s">
        <v>188</v>
      </c>
      <c r="ECU16" t="s">
        <v>188</v>
      </c>
      <c r="ECV16" t="s">
        <v>188</v>
      </c>
      <c r="ECW16" t="s">
        <v>188</v>
      </c>
      <c r="ECX16" t="s">
        <v>188</v>
      </c>
      <c r="ECY16" t="s">
        <v>188</v>
      </c>
      <c r="ECZ16" t="s">
        <v>188</v>
      </c>
      <c r="EDA16" t="s">
        <v>188</v>
      </c>
      <c r="EDB16" t="s">
        <v>188</v>
      </c>
      <c r="EDC16" t="s">
        <v>188</v>
      </c>
      <c r="EDD16" t="s">
        <v>188</v>
      </c>
      <c r="EDE16" t="s">
        <v>188</v>
      </c>
      <c r="EDF16" t="s">
        <v>188</v>
      </c>
      <c r="EDG16" t="s">
        <v>188</v>
      </c>
      <c r="EDH16" t="s">
        <v>188</v>
      </c>
      <c r="EDI16" t="s">
        <v>188</v>
      </c>
      <c r="EDJ16" t="s">
        <v>188</v>
      </c>
      <c r="EDK16" t="s">
        <v>188</v>
      </c>
      <c r="EDL16" t="s">
        <v>188</v>
      </c>
      <c r="EDM16" t="s">
        <v>188</v>
      </c>
      <c r="EDN16" t="s">
        <v>188</v>
      </c>
      <c r="EDO16" t="s">
        <v>188</v>
      </c>
      <c r="EDP16" t="s">
        <v>188</v>
      </c>
      <c r="EDQ16" t="s">
        <v>188</v>
      </c>
      <c r="EDR16" t="s">
        <v>188</v>
      </c>
      <c r="EDS16" t="s">
        <v>188</v>
      </c>
      <c r="EDT16" t="s">
        <v>188</v>
      </c>
      <c r="EDU16" t="s">
        <v>188</v>
      </c>
      <c r="EDV16" t="s">
        <v>188</v>
      </c>
      <c r="EDW16" t="s">
        <v>188</v>
      </c>
      <c r="EDX16" t="s">
        <v>188</v>
      </c>
      <c r="EDY16" t="s">
        <v>188</v>
      </c>
      <c r="EDZ16" t="s">
        <v>188</v>
      </c>
      <c r="EEA16" t="s">
        <v>188</v>
      </c>
      <c r="EEB16" t="s">
        <v>188</v>
      </c>
      <c r="EEC16" t="s">
        <v>188</v>
      </c>
      <c r="EED16" t="s">
        <v>188</v>
      </c>
      <c r="EEE16" t="s">
        <v>188</v>
      </c>
      <c r="EEF16" t="s">
        <v>188</v>
      </c>
      <c r="EEG16" t="s">
        <v>188</v>
      </c>
      <c r="EEH16" t="s">
        <v>188</v>
      </c>
      <c r="EEI16" t="s">
        <v>188</v>
      </c>
      <c r="EEJ16" t="s">
        <v>188</v>
      </c>
      <c r="EEK16" t="s">
        <v>188</v>
      </c>
      <c r="EEL16" t="s">
        <v>188</v>
      </c>
      <c r="EEM16" t="s">
        <v>188</v>
      </c>
      <c r="EEN16" t="s">
        <v>188</v>
      </c>
      <c r="EEO16" t="s">
        <v>188</v>
      </c>
      <c r="EEP16" t="s">
        <v>188</v>
      </c>
      <c r="EEQ16" t="s">
        <v>188</v>
      </c>
      <c r="EER16" t="s">
        <v>188</v>
      </c>
      <c r="EES16" t="s">
        <v>188</v>
      </c>
      <c r="EET16" t="s">
        <v>188</v>
      </c>
      <c r="EEU16" t="s">
        <v>188</v>
      </c>
      <c r="EEV16" t="s">
        <v>188</v>
      </c>
      <c r="EEW16" t="s">
        <v>188</v>
      </c>
      <c r="EEX16" t="s">
        <v>188</v>
      </c>
      <c r="EEY16" t="s">
        <v>188</v>
      </c>
      <c r="EEZ16" t="s">
        <v>188</v>
      </c>
      <c r="EFA16" t="s">
        <v>188</v>
      </c>
      <c r="EFB16" t="s">
        <v>188</v>
      </c>
      <c r="EFC16" t="s">
        <v>188</v>
      </c>
      <c r="EFD16" t="s">
        <v>188</v>
      </c>
      <c r="EFE16" t="s">
        <v>188</v>
      </c>
      <c r="EFF16" t="s">
        <v>188</v>
      </c>
      <c r="EFG16" t="s">
        <v>188</v>
      </c>
      <c r="EFH16" t="s">
        <v>188</v>
      </c>
      <c r="EFI16" t="s">
        <v>188</v>
      </c>
      <c r="EFJ16" t="s">
        <v>188</v>
      </c>
      <c r="EFK16" t="s">
        <v>188</v>
      </c>
      <c r="EFL16" t="s">
        <v>188</v>
      </c>
      <c r="EFM16" t="s">
        <v>188</v>
      </c>
      <c r="EFN16" t="s">
        <v>188</v>
      </c>
      <c r="EFO16" t="s">
        <v>188</v>
      </c>
      <c r="EFP16" t="s">
        <v>188</v>
      </c>
      <c r="EFQ16" t="s">
        <v>188</v>
      </c>
      <c r="EFR16" t="s">
        <v>188</v>
      </c>
      <c r="EFS16" t="s">
        <v>188</v>
      </c>
      <c r="EFT16" t="s">
        <v>188</v>
      </c>
      <c r="EFU16" t="s">
        <v>188</v>
      </c>
      <c r="EFV16" t="s">
        <v>188</v>
      </c>
      <c r="EFW16" t="s">
        <v>188</v>
      </c>
      <c r="EFX16" t="s">
        <v>188</v>
      </c>
      <c r="EFY16" t="s">
        <v>188</v>
      </c>
      <c r="EFZ16" t="s">
        <v>188</v>
      </c>
      <c r="EGA16" t="s">
        <v>188</v>
      </c>
      <c r="EGB16" t="s">
        <v>188</v>
      </c>
      <c r="EGC16" t="s">
        <v>188</v>
      </c>
      <c r="EGD16" t="s">
        <v>188</v>
      </c>
      <c r="EGE16" t="s">
        <v>188</v>
      </c>
      <c r="EGF16" t="s">
        <v>188</v>
      </c>
      <c r="EGG16" t="s">
        <v>188</v>
      </c>
      <c r="EGH16" t="s">
        <v>188</v>
      </c>
      <c r="EGI16" t="s">
        <v>188</v>
      </c>
      <c r="EGJ16" t="s">
        <v>188</v>
      </c>
      <c r="EGK16" t="s">
        <v>188</v>
      </c>
      <c r="EGL16" t="s">
        <v>188</v>
      </c>
      <c r="EGM16" t="s">
        <v>188</v>
      </c>
      <c r="EGN16" t="s">
        <v>188</v>
      </c>
      <c r="EGO16" t="s">
        <v>188</v>
      </c>
      <c r="EGP16" t="s">
        <v>188</v>
      </c>
      <c r="EGQ16" t="s">
        <v>188</v>
      </c>
      <c r="EGR16" t="s">
        <v>188</v>
      </c>
      <c r="EGS16" t="s">
        <v>188</v>
      </c>
      <c r="EGT16" t="s">
        <v>188</v>
      </c>
      <c r="EGU16" t="s">
        <v>188</v>
      </c>
      <c r="EGV16" t="s">
        <v>188</v>
      </c>
      <c r="EGW16" t="s">
        <v>188</v>
      </c>
      <c r="EGX16" t="s">
        <v>188</v>
      </c>
      <c r="EGY16" t="s">
        <v>188</v>
      </c>
      <c r="EGZ16" t="s">
        <v>188</v>
      </c>
      <c r="EHA16" t="s">
        <v>188</v>
      </c>
      <c r="EHB16" t="s">
        <v>188</v>
      </c>
      <c r="EHC16" t="s">
        <v>188</v>
      </c>
      <c r="EHD16" t="s">
        <v>188</v>
      </c>
      <c r="EHE16" t="s">
        <v>188</v>
      </c>
      <c r="EHF16" t="s">
        <v>188</v>
      </c>
      <c r="EHG16" t="s">
        <v>188</v>
      </c>
      <c r="EHH16" t="s">
        <v>188</v>
      </c>
      <c r="EHI16" t="s">
        <v>188</v>
      </c>
      <c r="EHJ16" t="s">
        <v>188</v>
      </c>
      <c r="EHK16" t="s">
        <v>188</v>
      </c>
      <c r="EHL16" t="s">
        <v>188</v>
      </c>
      <c r="EHM16" t="s">
        <v>188</v>
      </c>
      <c r="EHN16" t="s">
        <v>188</v>
      </c>
      <c r="EHO16" t="s">
        <v>188</v>
      </c>
      <c r="EHP16" t="s">
        <v>188</v>
      </c>
      <c r="EHQ16" t="s">
        <v>188</v>
      </c>
      <c r="EHR16" t="s">
        <v>188</v>
      </c>
      <c r="EHS16" t="s">
        <v>188</v>
      </c>
      <c r="EHT16" t="s">
        <v>188</v>
      </c>
      <c r="EHU16" t="s">
        <v>188</v>
      </c>
      <c r="EHV16" t="s">
        <v>188</v>
      </c>
      <c r="EHW16" t="s">
        <v>188</v>
      </c>
      <c r="EHX16" t="s">
        <v>188</v>
      </c>
      <c r="EHY16" t="s">
        <v>188</v>
      </c>
      <c r="EHZ16" t="s">
        <v>188</v>
      </c>
      <c r="EIA16" t="s">
        <v>188</v>
      </c>
      <c r="EIB16" t="s">
        <v>188</v>
      </c>
      <c r="EIC16" t="s">
        <v>188</v>
      </c>
      <c r="EID16" t="s">
        <v>188</v>
      </c>
      <c r="EIE16" t="s">
        <v>188</v>
      </c>
      <c r="EIF16" t="s">
        <v>188</v>
      </c>
      <c r="EIG16" t="s">
        <v>188</v>
      </c>
      <c r="EIH16" t="s">
        <v>188</v>
      </c>
      <c r="EII16" t="s">
        <v>188</v>
      </c>
      <c r="EIJ16" t="s">
        <v>188</v>
      </c>
      <c r="EIK16" t="s">
        <v>188</v>
      </c>
      <c r="EIL16" t="s">
        <v>188</v>
      </c>
      <c r="EIM16" t="s">
        <v>188</v>
      </c>
      <c r="EIN16" t="s">
        <v>188</v>
      </c>
      <c r="EIO16" t="s">
        <v>188</v>
      </c>
      <c r="EIP16" t="s">
        <v>188</v>
      </c>
      <c r="EIQ16" t="s">
        <v>188</v>
      </c>
      <c r="EIR16" t="s">
        <v>188</v>
      </c>
      <c r="EIS16" t="s">
        <v>188</v>
      </c>
      <c r="EIT16" t="s">
        <v>188</v>
      </c>
      <c r="EIU16" t="s">
        <v>188</v>
      </c>
      <c r="EIV16" t="s">
        <v>188</v>
      </c>
      <c r="EIW16" t="s">
        <v>188</v>
      </c>
      <c r="EIX16" t="s">
        <v>188</v>
      </c>
      <c r="EIY16" t="s">
        <v>188</v>
      </c>
      <c r="EIZ16" t="s">
        <v>188</v>
      </c>
      <c r="EJA16" t="s">
        <v>188</v>
      </c>
      <c r="EJB16" t="s">
        <v>188</v>
      </c>
      <c r="EJC16" t="s">
        <v>188</v>
      </c>
      <c r="EJD16" t="s">
        <v>188</v>
      </c>
      <c r="EJE16" t="s">
        <v>188</v>
      </c>
      <c r="EJF16" t="s">
        <v>188</v>
      </c>
      <c r="EJG16" t="s">
        <v>188</v>
      </c>
      <c r="EJH16" t="s">
        <v>188</v>
      </c>
      <c r="EJI16" t="s">
        <v>188</v>
      </c>
      <c r="EJJ16" t="s">
        <v>188</v>
      </c>
      <c r="EJK16" t="s">
        <v>188</v>
      </c>
      <c r="EJL16" t="s">
        <v>188</v>
      </c>
      <c r="EJM16" t="s">
        <v>188</v>
      </c>
      <c r="EJN16" t="s">
        <v>188</v>
      </c>
      <c r="EJO16" t="s">
        <v>188</v>
      </c>
      <c r="EJP16" t="s">
        <v>188</v>
      </c>
      <c r="EJQ16" t="s">
        <v>188</v>
      </c>
      <c r="EJR16" t="s">
        <v>188</v>
      </c>
      <c r="EJS16" t="s">
        <v>188</v>
      </c>
      <c r="EJT16" t="s">
        <v>188</v>
      </c>
      <c r="EJU16" t="s">
        <v>188</v>
      </c>
      <c r="EJV16" t="s">
        <v>188</v>
      </c>
      <c r="EJW16" t="s">
        <v>188</v>
      </c>
      <c r="EJX16" t="s">
        <v>188</v>
      </c>
      <c r="EJY16" t="s">
        <v>188</v>
      </c>
      <c r="EJZ16" t="s">
        <v>188</v>
      </c>
      <c r="EKA16" t="s">
        <v>188</v>
      </c>
      <c r="EKB16" t="s">
        <v>188</v>
      </c>
      <c r="EKC16" t="s">
        <v>188</v>
      </c>
      <c r="EKD16" t="s">
        <v>188</v>
      </c>
      <c r="EKE16" t="s">
        <v>188</v>
      </c>
      <c r="EKF16" t="s">
        <v>188</v>
      </c>
      <c r="EKG16" t="s">
        <v>188</v>
      </c>
      <c r="EKH16" t="s">
        <v>188</v>
      </c>
      <c r="EKI16" t="s">
        <v>188</v>
      </c>
      <c r="EKJ16" t="s">
        <v>188</v>
      </c>
      <c r="EKK16" t="s">
        <v>188</v>
      </c>
      <c r="EKL16" t="s">
        <v>188</v>
      </c>
      <c r="EKM16" t="s">
        <v>188</v>
      </c>
      <c r="EKN16" t="s">
        <v>188</v>
      </c>
      <c r="EKO16" t="s">
        <v>188</v>
      </c>
      <c r="EKP16" t="s">
        <v>188</v>
      </c>
      <c r="EKQ16" t="s">
        <v>188</v>
      </c>
      <c r="EKR16" t="s">
        <v>188</v>
      </c>
      <c r="EKS16" t="s">
        <v>188</v>
      </c>
      <c r="EKT16" t="s">
        <v>188</v>
      </c>
      <c r="EKU16" t="s">
        <v>188</v>
      </c>
      <c r="EKV16" t="s">
        <v>188</v>
      </c>
      <c r="EKW16" t="s">
        <v>188</v>
      </c>
      <c r="EKX16" t="s">
        <v>188</v>
      </c>
      <c r="EKY16" t="s">
        <v>188</v>
      </c>
      <c r="EKZ16" t="s">
        <v>188</v>
      </c>
      <c r="ELA16" t="s">
        <v>188</v>
      </c>
      <c r="ELB16" t="s">
        <v>188</v>
      </c>
      <c r="ELC16" t="s">
        <v>188</v>
      </c>
      <c r="ELD16" t="s">
        <v>188</v>
      </c>
      <c r="ELE16" t="s">
        <v>188</v>
      </c>
      <c r="ELF16" t="s">
        <v>188</v>
      </c>
      <c r="ELG16" t="s">
        <v>188</v>
      </c>
      <c r="ELH16" t="s">
        <v>188</v>
      </c>
      <c r="ELI16" t="s">
        <v>188</v>
      </c>
      <c r="ELJ16" t="s">
        <v>188</v>
      </c>
      <c r="ELK16" t="s">
        <v>188</v>
      </c>
      <c r="ELL16" t="s">
        <v>188</v>
      </c>
      <c r="ELM16" t="s">
        <v>188</v>
      </c>
      <c r="ELN16" t="s">
        <v>188</v>
      </c>
      <c r="ELO16" t="s">
        <v>188</v>
      </c>
      <c r="ELP16" t="s">
        <v>188</v>
      </c>
      <c r="ELQ16" t="s">
        <v>188</v>
      </c>
      <c r="ELR16" t="s">
        <v>188</v>
      </c>
      <c r="ELS16" t="s">
        <v>188</v>
      </c>
      <c r="ELT16" t="s">
        <v>188</v>
      </c>
      <c r="ELU16" t="s">
        <v>188</v>
      </c>
      <c r="ELV16" t="s">
        <v>188</v>
      </c>
      <c r="ELW16" t="s">
        <v>188</v>
      </c>
      <c r="ELX16" t="s">
        <v>188</v>
      </c>
      <c r="ELY16" t="s">
        <v>188</v>
      </c>
      <c r="ELZ16" t="s">
        <v>188</v>
      </c>
      <c r="EMA16" t="s">
        <v>188</v>
      </c>
      <c r="EMB16" t="s">
        <v>188</v>
      </c>
      <c r="EMC16" t="s">
        <v>188</v>
      </c>
      <c r="EMD16" t="s">
        <v>188</v>
      </c>
      <c r="EME16" t="s">
        <v>188</v>
      </c>
      <c r="EMF16" t="s">
        <v>188</v>
      </c>
      <c r="EMG16" t="s">
        <v>188</v>
      </c>
      <c r="EMH16" t="s">
        <v>188</v>
      </c>
      <c r="EMI16" t="s">
        <v>188</v>
      </c>
      <c r="EMJ16" t="s">
        <v>188</v>
      </c>
      <c r="EMK16" t="s">
        <v>188</v>
      </c>
      <c r="EML16" t="s">
        <v>188</v>
      </c>
      <c r="EMM16" t="s">
        <v>188</v>
      </c>
      <c r="EMN16" t="s">
        <v>188</v>
      </c>
      <c r="EMO16" t="s">
        <v>188</v>
      </c>
      <c r="EMP16" t="s">
        <v>188</v>
      </c>
      <c r="EMQ16" t="s">
        <v>188</v>
      </c>
      <c r="EMR16" t="s">
        <v>188</v>
      </c>
      <c r="EMS16" t="s">
        <v>188</v>
      </c>
      <c r="EMT16" t="s">
        <v>188</v>
      </c>
      <c r="EMU16" t="s">
        <v>188</v>
      </c>
      <c r="EMV16" t="s">
        <v>188</v>
      </c>
      <c r="EMW16" t="s">
        <v>188</v>
      </c>
      <c r="EMX16" t="s">
        <v>188</v>
      </c>
      <c r="EMY16" t="s">
        <v>188</v>
      </c>
      <c r="EMZ16" t="s">
        <v>188</v>
      </c>
      <c r="ENA16" t="s">
        <v>188</v>
      </c>
      <c r="ENB16" t="s">
        <v>188</v>
      </c>
      <c r="ENC16" t="s">
        <v>188</v>
      </c>
      <c r="END16" t="s">
        <v>188</v>
      </c>
      <c r="ENE16" t="s">
        <v>188</v>
      </c>
      <c r="ENF16" t="s">
        <v>188</v>
      </c>
      <c r="ENG16" t="s">
        <v>188</v>
      </c>
      <c r="ENH16" t="s">
        <v>188</v>
      </c>
      <c r="ENI16" t="s">
        <v>188</v>
      </c>
      <c r="ENJ16" t="s">
        <v>188</v>
      </c>
      <c r="ENK16" t="s">
        <v>188</v>
      </c>
      <c r="ENL16" t="s">
        <v>188</v>
      </c>
      <c r="ENM16" t="s">
        <v>188</v>
      </c>
      <c r="ENN16" t="s">
        <v>188</v>
      </c>
      <c r="ENO16" t="s">
        <v>188</v>
      </c>
      <c r="ENP16" t="s">
        <v>188</v>
      </c>
      <c r="ENQ16" t="s">
        <v>188</v>
      </c>
      <c r="ENR16" t="s">
        <v>188</v>
      </c>
      <c r="ENS16" t="s">
        <v>188</v>
      </c>
      <c r="ENT16" t="s">
        <v>188</v>
      </c>
      <c r="ENU16" t="s">
        <v>188</v>
      </c>
      <c r="ENV16" t="s">
        <v>188</v>
      </c>
      <c r="ENW16" t="s">
        <v>188</v>
      </c>
      <c r="ENX16" t="s">
        <v>188</v>
      </c>
      <c r="ENY16" t="s">
        <v>188</v>
      </c>
      <c r="ENZ16" t="s">
        <v>188</v>
      </c>
      <c r="EOA16" t="s">
        <v>188</v>
      </c>
      <c r="EOB16" t="s">
        <v>188</v>
      </c>
      <c r="EOC16" t="s">
        <v>188</v>
      </c>
      <c r="EOD16" t="s">
        <v>188</v>
      </c>
      <c r="EOE16" t="s">
        <v>188</v>
      </c>
      <c r="EOF16" t="s">
        <v>188</v>
      </c>
      <c r="EOG16" t="s">
        <v>188</v>
      </c>
      <c r="EOH16" t="s">
        <v>188</v>
      </c>
      <c r="EOI16" t="s">
        <v>188</v>
      </c>
      <c r="EOJ16" t="s">
        <v>188</v>
      </c>
      <c r="EOK16" t="s">
        <v>188</v>
      </c>
      <c r="EOL16" t="s">
        <v>188</v>
      </c>
      <c r="EOM16" t="s">
        <v>188</v>
      </c>
      <c r="EON16" t="s">
        <v>188</v>
      </c>
      <c r="EOO16" t="s">
        <v>188</v>
      </c>
      <c r="EOP16" t="s">
        <v>188</v>
      </c>
      <c r="EOQ16" t="s">
        <v>188</v>
      </c>
      <c r="EOR16" t="s">
        <v>188</v>
      </c>
      <c r="EOS16" t="s">
        <v>188</v>
      </c>
      <c r="EOT16" t="s">
        <v>188</v>
      </c>
      <c r="EOU16" t="s">
        <v>188</v>
      </c>
      <c r="EOV16" t="s">
        <v>188</v>
      </c>
      <c r="EOW16" t="s">
        <v>188</v>
      </c>
      <c r="EOX16" t="s">
        <v>188</v>
      </c>
      <c r="EOY16" t="s">
        <v>188</v>
      </c>
      <c r="EOZ16" t="s">
        <v>188</v>
      </c>
      <c r="EPA16" t="s">
        <v>188</v>
      </c>
      <c r="EPB16" t="s">
        <v>188</v>
      </c>
      <c r="EPC16" t="s">
        <v>188</v>
      </c>
      <c r="EPD16" t="s">
        <v>188</v>
      </c>
      <c r="EPE16" t="s">
        <v>188</v>
      </c>
      <c r="EPF16" t="s">
        <v>188</v>
      </c>
      <c r="EPG16" t="s">
        <v>188</v>
      </c>
      <c r="EPH16" t="s">
        <v>188</v>
      </c>
      <c r="EPI16" t="s">
        <v>188</v>
      </c>
      <c r="EPJ16" t="s">
        <v>188</v>
      </c>
      <c r="EPK16" t="s">
        <v>188</v>
      </c>
      <c r="EPL16" t="s">
        <v>188</v>
      </c>
      <c r="EPM16" t="s">
        <v>188</v>
      </c>
      <c r="EPN16" t="s">
        <v>188</v>
      </c>
      <c r="EPO16" t="s">
        <v>188</v>
      </c>
      <c r="EPP16" t="s">
        <v>188</v>
      </c>
      <c r="EPQ16" t="s">
        <v>188</v>
      </c>
      <c r="EPR16" t="s">
        <v>188</v>
      </c>
      <c r="EPS16" t="s">
        <v>188</v>
      </c>
      <c r="EPT16" t="s">
        <v>188</v>
      </c>
      <c r="EPU16" t="s">
        <v>188</v>
      </c>
      <c r="EPV16" t="s">
        <v>188</v>
      </c>
      <c r="EPW16" t="s">
        <v>188</v>
      </c>
      <c r="EPX16" t="s">
        <v>188</v>
      </c>
      <c r="EPY16" t="s">
        <v>188</v>
      </c>
      <c r="EPZ16" t="s">
        <v>188</v>
      </c>
      <c r="EQA16" t="s">
        <v>188</v>
      </c>
      <c r="EQB16" t="s">
        <v>188</v>
      </c>
      <c r="EQC16" t="s">
        <v>188</v>
      </c>
      <c r="EQD16" t="s">
        <v>188</v>
      </c>
      <c r="EQE16" t="s">
        <v>188</v>
      </c>
      <c r="EQF16" t="s">
        <v>188</v>
      </c>
      <c r="EQG16" t="s">
        <v>188</v>
      </c>
      <c r="EQH16" t="s">
        <v>188</v>
      </c>
      <c r="EQI16" t="s">
        <v>188</v>
      </c>
      <c r="EQJ16" t="s">
        <v>188</v>
      </c>
      <c r="EQK16" t="s">
        <v>188</v>
      </c>
      <c r="EQL16" t="s">
        <v>188</v>
      </c>
      <c r="EQM16" t="s">
        <v>188</v>
      </c>
      <c r="EQN16" t="s">
        <v>188</v>
      </c>
      <c r="EQO16" t="s">
        <v>188</v>
      </c>
      <c r="EQP16" t="s">
        <v>188</v>
      </c>
      <c r="EQQ16" t="s">
        <v>188</v>
      </c>
      <c r="EQR16" t="s">
        <v>188</v>
      </c>
      <c r="EQS16" t="s">
        <v>188</v>
      </c>
      <c r="EQT16" t="s">
        <v>188</v>
      </c>
      <c r="EQU16" t="s">
        <v>188</v>
      </c>
      <c r="EQV16" t="s">
        <v>188</v>
      </c>
      <c r="EQW16" t="s">
        <v>188</v>
      </c>
      <c r="EQX16" t="s">
        <v>188</v>
      </c>
      <c r="EQY16" t="s">
        <v>188</v>
      </c>
      <c r="EQZ16" t="s">
        <v>188</v>
      </c>
      <c r="ERA16" t="s">
        <v>188</v>
      </c>
      <c r="ERB16" t="s">
        <v>188</v>
      </c>
      <c r="ERC16" t="s">
        <v>188</v>
      </c>
      <c r="ERD16" t="s">
        <v>188</v>
      </c>
      <c r="ERE16" t="s">
        <v>188</v>
      </c>
      <c r="ERF16" t="s">
        <v>188</v>
      </c>
      <c r="ERG16" t="s">
        <v>188</v>
      </c>
      <c r="ERH16" t="s">
        <v>188</v>
      </c>
      <c r="ERI16" t="s">
        <v>188</v>
      </c>
      <c r="ERJ16" t="s">
        <v>188</v>
      </c>
      <c r="ERK16" t="s">
        <v>188</v>
      </c>
      <c r="ERL16" t="s">
        <v>188</v>
      </c>
      <c r="ERM16" t="s">
        <v>188</v>
      </c>
      <c r="ERN16" t="s">
        <v>188</v>
      </c>
      <c r="ERO16" t="s">
        <v>188</v>
      </c>
      <c r="ERP16" t="s">
        <v>188</v>
      </c>
      <c r="ERQ16" t="s">
        <v>188</v>
      </c>
      <c r="ERR16" t="s">
        <v>188</v>
      </c>
      <c r="ERS16" t="s">
        <v>188</v>
      </c>
      <c r="ERT16" t="s">
        <v>188</v>
      </c>
      <c r="ERU16" t="s">
        <v>188</v>
      </c>
      <c r="ERV16" t="s">
        <v>188</v>
      </c>
      <c r="ERW16" t="s">
        <v>188</v>
      </c>
      <c r="ERX16" t="s">
        <v>188</v>
      </c>
      <c r="ERY16" t="s">
        <v>188</v>
      </c>
      <c r="ERZ16" t="s">
        <v>188</v>
      </c>
      <c r="ESA16" t="s">
        <v>188</v>
      </c>
      <c r="ESB16" t="s">
        <v>188</v>
      </c>
      <c r="ESC16" t="s">
        <v>188</v>
      </c>
      <c r="ESD16" t="s">
        <v>188</v>
      </c>
      <c r="ESE16" t="s">
        <v>188</v>
      </c>
      <c r="ESF16" t="s">
        <v>188</v>
      </c>
      <c r="ESG16" t="s">
        <v>188</v>
      </c>
      <c r="ESH16" t="s">
        <v>188</v>
      </c>
      <c r="ESI16" t="s">
        <v>188</v>
      </c>
      <c r="ESJ16" t="s">
        <v>188</v>
      </c>
      <c r="ESK16" t="s">
        <v>188</v>
      </c>
      <c r="ESL16" t="s">
        <v>188</v>
      </c>
      <c r="ESM16" t="s">
        <v>188</v>
      </c>
      <c r="ESN16" t="s">
        <v>188</v>
      </c>
      <c r="ESO16" t="s">
        <v>188</v>
      </c>
      <c r="ESP16" t="s">
        <v>188</v>
      </c>
      <c r="ESQ16" t="s">
        <v>188</v>
      </c>
      <c r="ESR16" t="s">
        <v>188</v>
      </c>
      <c r="ESS16" t="s">
        <v>188</v>
      </c>
      <c r="EST16" t="s">
        <v>188</v>
      </c>
      <c r="ESU16" t="s">
        <v>188</v>
      </c>
      <c r="ESV16" t="s">
        <v>188</v>
      </c>
      <c r="ESW16" t="s">
        <v>188</v>
      </c>
      <c r="ESX16" t="s">
        <v>188</v>
      </c>
      <c r="ESY16" t="s">
        <v>188</v>
      </c>
      <c r="ESZ16" t="s">
        <v>188</v>
      </c>
      <c r="ETA16" t="s">
        <v>188</v>
      </c>
      <c r="ETB16" t="s">
        <v>188</v>
      </c>
      <c r="ETC16" t="s">
        <v>188</v>
      </c>
      <c r="ETD16" t="s">
        <v>188</v>
      </c>
      <c r="ETE16" t="s">
        <v>188</v>
      </c>
      <c r="ETF16" t="s">
        <v>188</v>
      </c>
      <c r="ETG16" t="s">
        <v>188</v>
      </c>
      <c r="ETH16" t="s">
        <v>188</v>
      </c>
      <c r="ETI16" t="s">
        <v>188</v>
      </c>
      <c r="ETJ16" t="s">
        <v>188</v>
      </c>
      <c r="ETK16" t="s">
        <v>188</v>
      </c>
      <c r="ETL16" t="s">
        <v>188</v>
      </c>
      <c r="ETM16" t="s">
        <v>188</v>
      </c>
      <c r="ETN16" t="s">
        <v>188</v>
      </c>
      <c r="ETO16" t="s">
        <v>188</v>
      </c>
      <c r="ETP16" t="s">
        <v>188</v>
      </c>
      <c r="ETQ16" t="s">
        <v>188</v>
      </c>
      <c r="ETR16" t="s">
        <v>188</v>
      </c>
      <c r="ETS16" t="s">
        <v>188</v>
      </c>
      <c r="ETT16" t="s">
        <v>188</v>
      </c>
      <c r="ETU16" t="s">
        <v>188</v>
      </c>
      <c r="ETV16" t="s">
        <v>188</v>
      </c>
      <c r="ETW16" t="s">
        <v>188</v>
      </c>
      <c r="ETX16" t="s">
        <v>188</v>
      </c>
      <c r="ETY16" t="s">
        <v>188</v>
      </c>
      <c r="ETZ16" t="s">
        <v>188</v>
      </c>
      <c r="EUA16" t="s">
        <v>188</v>
      </c>
      <c r="EUB16" t="s">
        <v>188</v>
      </c>
      <c r="EUC16" t="s">
        <v>188</v>
      </c>
      <c r="EUD16" t="s">
        <v>188</v>
      </c>
      <c r="EUE16" t="s">
        <v>188</v>
      </c>
      <c r="EUF16" t="s">
        <v>188</v>
      </c>
      <c r="EUG16" t="s">
        <v>188</v>
      </c>
      <c r="EUH16" t="s">
        <v>188</v>
      </c>
      <c r="EUI16" t="s">
        <v>188</v>
      </c>
      <c r="EUJ16" t="s">
        <v>188</v>
      </c>
      <c r="EUK16" t="s">
        <v>188</v>
      </c>
      <c r="EUL16" t="s">
        <v>188</v>
      </c>
      <c r="EUM16" t="s">
        <v>188</v>
      </c>
      <c r="EUN16" t="s">
        <v>188</v>
      </c>
      <c r="EUO16" t="s">
        <v>188</v>
      </c>
      <c r="EUP16" t="s">
        <v>188</v>
      </c>
      <c r="EUQ16" t="s">
        <v>188</v>
      </c>
      <c r="EUR16" t="s">
        <v>188</v>
      </c>
      <c r="EUS16" t="s">
        <v>188</v>
      </c>
      <c r="EUT16" t="s">
        <v>188</v>
      </c>
      <c r="EUU16" t="s">
        <v>188</v>
      </c>
      <c r="EUV16" t="s">
        <v>188</v>
      </c>
      <c r="EUW16" t="s">
        <v>188</v>
      </c>
      <c r="EUX16" t="s">
        <v>188</v>
      </c>
      <c r="EUY16" t="s">
        <v>188</v>
      </c>
      <c r="EUZ16" t="s">
        <v>188</v>
      </c>
      <c r="EVA16" t="s">
        <v>188</v>
      </c>
      <c r="EVB16" t="s">
        <v>188</v>
      </c>
      <c r="EVC16" t="s">
        <v>188</v>
      </c>
      <c r="EVD16" t="s">
        <v>188</v>
      </c>
      <c r="EVE16" t="s">
        <v>188</v>
      </c>
      <c r="EVF16" t="s">
        <v>188</v>
      </c>
      <c r="EVG16" t="s">
        <v>188</v>
      </c>
      <c r="EVH16" t="s">
        <v>188</v>
      </c>
      <c r="EVI16" t="s">
        <v>188</v>
      </c>
      <c r="EVJ16" t="s">
        <v>188</v>
      </c>
      <c r="EVK16" t="s">
        <v>188</v>
      </c>
      <c r="EVL16" t="s">
        <v>188</v>
      </c>
      <c r="EVM16" t="s">
        <v>188</v>
      </c>
      <c r="EVN16" t="s">
        <v>188</v>
      </c>
      <c r="EVO16" t="s">
        <v>188</v>
      </c>
      <c r="EVP16" t="s">
        <v>188</v>
      </c>
      <c r="EVQ16" t="s">
        <v>188</v>
      </c>
      <c r="EVR16" t="s">
        <v>188</v>
      </c>
      <c r="EVS16" t="s">
        <v>188</v>
      </c>
      <c r="EVT16" t="s">
        <v>188</v>
      </c>
      <c r="EVU16" t="s">
        <v>188</v>
      </c>
      <c r="EVV16" t="s">
        <v>188</v>
      </c>
      <c r="EVW16" t="s">
        <v>188</v>
      </c>
      <c r="EVX16" t="s">
        <v>188</v>
      </c>
      <c r="EVY16" t="s">
        <v>188</v>
      </c>
      <c r="EVZ16" t="s">
        <v>188</v>
      </c>
      <c r="EWA16" t="s">
        <v>188</v>
      </c>
      <c r="EWB16" t="s">
        <v>188</v>
      </c>
      <c r="EWC16" t="s">
        <v>188</v>
      </c>
      <c r="EWD16" t="s">
        <v>188</v>
      </c>
      <c r="EWE16" t="s">
        <v>188</v>
      </c>
      <c r="EWF16" t="s">
        <v>188</v>
      </c>
      <c r="EWG16" t="s">
        <v>188</v>
      </c>
      <c r="EWH16" t="s">
        <v>188</v>
      </c>
      <c r="EWI16" t="s">
        <v>188</v>
      </c>
      <c r="EWJ16" t="s">
        <v>188</v>
      </c>
      <c r="EWK16" t="s">
        <v>188</v>
      </c>
      <c r="EWL16" t="s">
        <v>188</v>
      </c>
      <c r="EWM16" t="s">
        <v>188</v>
      </c>
      <c r="EWN16" t="s">
        <v>188</v>
      </c>
      <c r="EWO16" t="s">
        <v>188</v>
      </c>
      <c r="EWP16" t="s">
        <v>188</v>
      </c>
      <c r="EWQ16" t="s">
        <v>188</v>
      </c>
      <c r="EWR16" t="s">
        <v>188</v>
      </c>
      <c r="EWS16" t="s">
        <v>188</v>
      </c>
      <c r="EWT16" t="s">
        <v>188</v>
      </c>
      <c r="EWU16" t="s">
        <v>188</v>
      </c>
      <c r="EWV16" t="s">
        <v>188</v>
      </c>
      <c r="EWW16" t="s">
        <v>188</v>
      </c>
      <c r="EWX16" t="s">
        <v>188</v>
      </c>
      <c r="EWY16" t="s">
        <v>188</v>
      </c>
      <c r="EWZ16" t="s">
        <v>188</v>
      </c>
      <c r="EXA16" t="s">
        <v>188</v>
      </c>
      <c r="EXB16" t="s">
        <v>188</v>
      </c>
      <c r="EXC16" t="s">
        <v>188</v>
      </c>
      <c r="EXD16" t="s">
        <v>188</v>
      </c>
      <c r="EXE16" t="s">
        <v>188</v>
      </c>
      <c r="EXF16" t="s">
        <v>188</v>
      </c>
      <c r="EXG16" t="s">
        <v>188</v>
      </c>
      <c r="EXH16" t="s">
        <v>188</v>
      </c>
      <c r="EXI16" t="s">
        <v>188</v>
      </c>
      <c r="EXJ16" t="s">
        <v>188</v>
      </c>
      <c r="EXK16" t="s">
        <v>188</v>
      </c>
      <c r="EXL16" t="s">
        <v>188</v>
      </c>
      <c r="EXM16" t="s">
        <v>188</v>
      </c>
      <c r="EXN16" t="s">
        <v>188</v>
      </c>
      <c r="EXO16" t="s">
        <v>188</v>
      </c>
      <c r="EXP16" t="s">
        <v>188</v>
      </c>
      <c r="EXQ16" t="s">
        <v>188</v>
      </c>
      <c r="EXR16" t="s">
        <v>188</v>
      </c>
      <c r="EXS16" t="s">
        <v>188</v>
      </c>
      <c r="EXT16" t="s">
        <v>188</v>
      </c>
      <c r="EXU16" t="s">
        <v>188</v>
      </c>
      <c r="EXV16" t="s">
        <v>188</v>
      </c>
      <c r="EXW16" t="s">
        <v>188</v>
      </c>
      <c r="EXX16" t="s">
        <v>188</v>
      </c>
      <c r="EXY16" t="s">
        <v>188</v>
      </c>
      <c r="EXZ16" t="s">
        <v>188</v>
      </c>
      <c r="EYA16" t="s">
        <v>188</v>
      </c>
      <c r="EYB16" t="s">
        <v>188</v>
      </c>
      <c r="EYC16" t="s">
        <v>188</v>
      </c>
      <c r="EYD16" t="s">
        <v>188</v>
      </c>
      <c r="EYE16" t="s">
        <v>188</v>
      </c>
      <c r="EYF16" t="s">
        <v>188</v>
      </c>
      <c r="EYG16" t="s">
        <v>188</v>
      </c>
      <c r="EYH16" t="s">
        <v>188</v>
      </c>
      <c r="EYI16" t="s">
        <v>188</v>
      </c>
      <c r="EYJ16" t="s">
        <v>188</v>
      </c>
      <c r="EYK16" t="s">
        <v>188</v>
      </c>
      <c r="EYL16" t="s">
        <v>188</v>
      </c>
      <c r="EYM16" t="s">
        <v>188</v>
      </c>
      <c r="EYN16" t="s">
        <v>188</v>
      </c>
      <c r="EYO16" t="s">
        <v>188</v>
      </c>
      <c r="EYP16" t="s">
        <v>188</v>
      </c>
      <c r="EYQ16" t="s">
        <v>188</v>
      </c>
      <c r="EYR16" t="s">
        <v>188</v>
      </c>
      <c r="EYS16" t="s">
        <v>188</v>
      </c>
      <c r="EYT16" t="s">
        <v>188</v>
      </c>
      <c r="EYU16" t="s">
        <v>188</v>
      </c>
      <c r="EYV16" t="s">
        <v>188</v>
      </c>
      <c r="EYW16" t="s">
        <v>188</v>
      </c>
      <c r="EYX16" t="s">
        <v>188</v>
      </c>
      <c r="EYY16" t="s">
        <v>188</v>
      </c>
      <c r="EYZ16" t="s">
        <v>188</v>
      </c>
      <c r="EZA16" t="s">
        <v>188</v>
      </c>
      <c r="EZB16" t="s">
        <v>188</v>
      </c>
      <c r="EZC16" t="s">
        <v>188</v>
      </c>
      <c r="EZD16" t="s">
        <v>188</v>
      </c>
      <c r="EZE16" t="s">
        <v>188</v>
      </c>
      <c r="EZF16" t="s">
        <v>188</v>
      </c>
      <c r="EZG16" t="s">
        <v>188</v>
      </c>
      <c r="EZH16" t="s">
        <v>188</v>
      </c>
      <c r="EZI16" t="s">
        <v>188</v>
      </c>
      <c r="EZJ16" t="s">
        <v>188</v>
      </c>
      <c r="EZK16" t="s">
        <v>188</v>
      </c>
      <c r="EZL16" t="s">
        <v>188</v>
      </c>
      <c r="EZM16" t="s">
        <v>188</v>
      </c>
      <c r="EZN16" t="s">
        <v>188</v>
      </c>
      <c r="EZO16" t="s">
        <v>188</v>
      </c>
      <c r="EZP16" t="s">
        <v>188</v>
      </c>
      <c r="EZQ16" t="s">
        <v>188</v>
      </c>
      <c r="EZR16" t="s">
        <v>188</v>
      </c>
      <c r="EZS16" t="s">
        <v>188</v>
      </c>
      <c r="EZT16" t="s">
        <v>188</v>
      </c>
      <c r="EZU16" t="s">
        <v>188</v>
      </c>
      <c r="EZV16" t="s">
        <v>188</v>
      </c>
      <c r="EZW16" t="s">
        <v>188</v>
      </c>
      <c r="EZX16" t="s">
        <v>188</v>
      </c>
      <c r="EZY16" t="s">
        <v>188</v>
      </c>
      <c r="EZZ16" t="s">
        <v>188</v>
      </c>
      <c r="FAA16" t="s">
        <v>188</v>
      </c>
      <c r="FAB16" t="s">
        <v>188</v>
      </c>
      <c r="FAC16" t="s">
        <v>188</v>
      </c>
      <c r="FAD16" t="s">
        <v>188</v>
      </c>
      <c r="FAE16" t="s">
        <v>188</v>
      </c>
      <c r="FAF16" t="s">
        <v>188</v>
      </c>
      <c r="FAG16" t="s">
        <v>188</v>
      </c>
      <c r="FAH16" t="s">
        <v>188</v>
      </c>
      <c r="FAI16" t="s">
        <v>188</v>
      </c>
      <c r="FAJ16" t="s">
        <v>188</v>
      </c>
      <c r="FAK16" t="s">
        <v>188</v>
      </c>
      <c r="FAL16" t="s">
        <v>188</v>
      </c>
      <c r="FAM16" t="s">
        <v>188</v>
      </c>
      <c r="FAN16" t="s">
        <v>188</v>
      </c>
      <c r="FAO16" t="s">
        <v>188</v>
      </c>
      <c r="FAP16" t="s">
        <v>188</v>
      </c>
      <c r="FAQ16" t="s">
        <v>188</v>
      </c>
      <c r="FAR16" t="s">
        <v>188</v>
      </c>
      <c r="FAS16" t="s">
        <v>188</v>
      </c>
      <c r="FAT16" t="s">
        <v>188</v>
      </c>
      <c r="FAU16" t="s">
        <v>188</v>
      </c>
      <c r="FAV16" t="s">
        <v>188</v>
      </c>
      <c r="FAW16" t="s">
        <v>188</v>
      </c>
      <c r="FAX16" t="s">
        <v>188</v>
      </c>
      <c r="FAY16" t="s">
        <v>188</v>
      </c>
      <c r="FAZ16" t="s">
        <v>188</v>
      </c>
      <c r="FBA16" t="s">
        <v>188</v>
      </c>
      <c r="FBB16" t="s">
        <v>188</v>
      </c>
      <c r="FBC16" t="s">
        <v>188</v>
      </c>
      <c r="FBD16" t="s">
        <v>188</v>
      </c>
      <c r="FBE16" t="s">
        <v>188</v>
      </c>
      <c r="FBF16" t="s">
        <v>188</v>
      </c>
      <c r="FBG16" t="s">
        <v>188</v>
      </c>
      <c r="FBH16" t="s">
        <v>188</v>
      </c>
      <c r="FBI16" t="s">
        <v>188</v>
      </c>
      <c r="FBJ16" t="s">
        <v>188</v>
      </c>
      <c r="FBK16" t="s">
        <v>188</v>
      </c>
      <c r="FBL16" t="s">
        <v>188</v>
      </c>
      <c r="FBM16" t="s">
        <v>188</v>
      </c>
      <c r="FBN16" t="s">
        <v>188</v>
      </c>
      <c r="FBO16" t="s">
        <v>188</v>
      </c>
      <c r="FBP16" t="s">
        <v>188</v>
      </c>
      <c r="FBQ16" t="s">
        <v>188</v>
      </c>
      <c r="FBR16" t="s">
        <v>188</v>
      </c>
      <c r="FBS16" t="s">
        <v>188</v>
      </c>
      <c r="FBT16" t="s">
        <v>188</v>
      </c>
      <c r="FBU16" t="s">
        <v>188</v>
      </c>
      <c r="FBV16" t="s">
        <v>188</v>
      </c>
      <c r="FBW16" t="s">
        <v>188</v>
      </c>
      <c r="FBX16" t="s">
        <v>188</v>
      </c>
      <c r="FBY16" t="s">
        <v>188</v>
      </c>
      <c r="FBZ16" t="s">
        <v>188</v>
      </c>
      <c r="FCA16" t="s">
        <v>188</v>
      </c>
      <c r="FCB16" t="s">
        <v>188</v>
      </c>
      <c r="FCC16" t="s">
        <v>188</v>
      </c>
      <c r="FCD16" t="s">
        <v>188</v>
      </c>
      <c r="FCE16" t="s">
        <v>188</v>
      </c>
      <c r="FCF16" t="s">
        <v>188</v>
      </c>
      <c r="FCG16" t="s">
        <v>188</v>
      </c>
      <c r="FCH16" t="s">
        <v>188</v>
      </c>
      <c r="FCI16" t="s">
        <v>188</v>
      </c>
      <c r="FCJ16" t="s">
        <v>188</v>
      </c>
      <c r="FCK16" t="s">
        <v>188</v>
      </c>
      <c r="FCL16" t="s">
        <v>188</v>
      </c>
      <c r="FCM16" t="s">
        <v>188</v>
      </c>
      <c r="FCN16" t="s">
        <v>188</v>
      </c>
      <c r="FCO16" t="s">
        <v>188</v>
      </c>
      <c r="FCP16" t="s">
        <v>188</v>
      </c>
      <c r="FCQ16" t="s">
        <v>188</v>
      </c>
      <c r="FCR16" t="s">
        <v>188</v>
      </c>
      <c r="FCS16" t="s">
        <v>188</v>
      </c>
      <c r="FCT16" t="s">
        <v>188</v>
      </c>
      <c r="FCU16" t="s">
        <v>188</v>
      </c>
      <c r="FCV16" t="s">
        <v>188</v>
      </c>
      <c r="FCW16" t="s">
        <v>188</v>
      </c>
      <c r="FCX16" t="s">
        <v>188</v>
      </c>
      <c r="FCY16" t="s">
        <v>188</v>
      </c>
      <c r="FCZ16" t="s">
        <v>188</v>
      </c>
      <c r="FDA16" t="s">
        <v>188</v>
      </c>
      <c r="FDB16" t="s">
        <v>188</v>
      </c>
      <c r="FDC16" t="s">
        <v>188</v>
      </c>
      <c r="FDD16" t="s">
        <v>188</v>
      </c>
      <c r="FDE16" t="s">
        <v>188</v>
      </c>
      <c r="FDF16" t="s">
        <v>188</v>
      </c>
      <c r="FDG16" t="s">
        <v>188</v>
      </c>
      <c r="FDH16" t="s">
        <v>188</v>
      </c>
      <c r="FDI16" t="s">
        <v>188</v>
      </c>
      <c r="FDJ16" t="s">
        <v>188</v>
      </c>
      <c r="FDK16" t="s">
        <v>188</v>
      </c>
      <c r="FDL16" t="s">
        <v>188</v>
      </c>
      <c r="FDM16" t="s">
        <v>188</v>
      </c>
      <c r="FDN16" t="s">
        <v>188</v>
      </c>
      <c r="FDO16" t="s">
        <v>188</v>
      </c>
      <c r="FDP16" t="s">
        <v>188</v>
      </c>
      <c r="FDQ16" t="s">
        <v>188</v>
      </c>
      <c r="FDR16" t="s">
        <v>188</v>
      </c>
      <c r="FDS16" t="s">
        <v>188</v>
      </c>
      <c r="FDT16" t="s">
        <v>188</v>
      </c>
      <c r="FDU16" t="s">
        <v>188</v>
      </c>
      <c r="FDV16" t="s">
        <v>188</v>
      </c>
      <c r="FDW16" t="s">
        <v>188</v>
      </c>
      <c r="FDX16" t="s">
        <v>188</v>
      </c>
      <c r="FDY16" t="s">
        <v>188</v>
      </c>
      <c r="FDZ16" t="s">
        <v>188</v>
      </c>
      <c r="FEA16" t="s">
        <v>188</v>
      </c>
      <c r="FEB16" t="s">
        <v>188</v>
      </c>
      <c r="FEC16" t="s">
        <v>188</v>
      </c>
      <c r="FED16" t="s">
        <v>188</v>
      </c>
      <c r="FEE16" t="s">
        <v>188</v>
      </c>
      <c r="FEF16" t="s">
        <v>188</v>
      </c>
      <c r="FEG16" t="s">
        <v>188</v>
      </c>
      <c r="FEH16" t="s">
        <v>188</v>
      </c>
      <c r="FEI16" t="s">
        <v>188</v>
      </c>
      <c r="FEJ16" t="s">
        <v>188</v>
      </c>
      <c r="FEK16" t="s">
        <v>188</v>
      </c>
      <c r="FEL16" t="s">
        <v>188</v>
      </c>
      <c r="FEM16" t="s">
        <v>188</v>
      </c>
      <c r="FEN16" t="s">
        <v>188</v>
      </c>
      <c r="FEO16" t="s">
        <v>188</v>
      </c>
      <c r="FEP16" t="s">
        <v>188</v>
      </c>
      <c r="FEQ16" t="s">
        <v>188</v>
      </c>
      <c r="FER16" t="s">
        <v>188</v>
      </c>
      <c r="FES16" t="s">
        <v>188</v>
      </c>
      <c r="FET16" t="s">
        <v>188</v>
      </c>
      <c r="FEU16" t="s">
        <v>188</v>
      </c>
      <c r="FEV16" t="s">
        <v>188</v>
      </c>
      <c r="FEW16" t="s">
        <v>188</v>
      </c>
      <c r="FEX16" t="s">
        <v>188</v>
      </c>
      <c r="FEY16" t="s">
        <v>188</v>
      </c>
      <c r="FEZ16" t="s">
        <v>188</v>
      </c>
      <c r="FFA16" t="s">
        <v>188</v>
      </c>
      <c r="FFB16" t="s">
        <v>188</v>
      </c>
      <c r="FFC16" t="s">
        <v>188</v>
      </c>
      <c r="FFD16" t="s">
        <v>188</v>
      </c>
      <c r="FFE16" t="s">
        <v>188</v>
      </c>
      <c r="FFF16" t="s">
        <v>188</v>
      </c>
      <c r="FFG16" t="s">
        <v>188</v>
      </c>
      <c r="FFH16" t="s">
        <v>188</v>
      </c>
      <c r="FFI16" t="s">
        <v>188</v>
      </c>
      <c r="FFJ16" t="s">
        <v>188</v>
      </c>
      <c r="FFK16" t="s">
        <v>188</v>
      </c>
      <c r="FFL16" t="s">
        <v>188</v>
      </c>
      <c r="FFM16" t="s">
        <v>188</v>
      </c>
      <c r="FFN16" t="s">
        <v>188</v>
      </c>
      <c r="FFO16" t="s">
        <v>188</v>
      </c>
      <c r="FFP16" t="s">
        <v>188</v>
      </c>
      <c r="FFQ16" t="s">
        <v>188</v>
      </c>
      <c r="FFR16" t="s">
        <v>188</v>
      </c>
      <c r="FFS16" t="s">
        <v>188</v>
      </c>
      <c r="FFT16" t="s">
        <v>188</v>
      </c>
      <c r="FFU16" t="s">
        <v>188</v>
      </c>
      <c r="FFV16" t="s">
        <v>188</v>
      </c>
      <c r="FFW16" t="s">
        <v>188</v>
      </c>
      <c r="FFX16" t="s">
        <v>188</v>
      </c>
      <c r="FFY16" t="s">
        <v>188</v>
      </c>
      <c r="FFZ16" t="s">
        <v>188</v>
      </c>
      <c r="FGA16" t="s">
        <v>188</v>
      </c>
      <c r="FGB16" t="s">
        <v>188</v>
      </c>
      <c r="FGC16" t="s">
        <v>188</v>
      </c>
      <c r="FGD16" t="s">
        <v>188</v>
      </c>
      <c r="FGE16" t="s">
        <v>188</v>
      </c>
      <c r="FGF16" t="s">
        <v>188</v>
      </c>
      <c r="FGG16" t="s">
        <v>188</v>
      </c>
      <c r="FGH16" t="s">
        <v>188</v>
      </c>
      <c r="FGI16" t="s">
        <v>188</v>
      </c>
      <c r="FGJ16" t="s">
        <v>188</v>
      </c>
      <c r="FGK16" t="s">
        <v>188</v>
      </c>
      <c r="FGL16" t="s">
        <v>188</v>
      </c>
      <c r="FGM16" t="s">
        <v>188</v>
      </c>
      <c r="FGN16" t="s">
        <v>188</v>
      </c>
      <c r="FGO16" t="s">
        <v>188</v>
      </c>
      <c r="FGP16" t="s">
        <v>188</v>
      </c>
      <c r="FGQ16" t="s">
        <v>188</v>
      </c>
      <c r="FGR16" t="s">
        <v>188</v>
      </c>
      <c r="FGS16" t="s">
        <v>188</v>
      </c>
      <c r="FGT16" t="s">
        <v>188</v>
      </c>
      <c r="FGU16" t="s">
        <v>188</v>
      </c>
      <c r="FGV16" t="s">
        <v>188</v>
      </c>
      <c r="FGW16" t="s">
        <v>188</v>
      </c>
      <c r="FGX16" t="s">
        <v>188</v>
      </c>
      <c r="FGY16" t="s">
        <v>188</v>
      </c>
      <c r="FGZ16" t="s">
        <v>188</v>
      </c>
      <c r="FHA16" t="s">
        <v>188</v>
      </c>
      <c r="FHB16" t="s">
        <v>188</v>
      </c>
      <c r="FHC16" t="s">
        <v>188</v>
      </c>
      <c r="FHD16" t="s">
        <v>188</v>
      </c>
      <c r="FHE16" t="s">
        <v>188</v>
      </c>
      <c r="FHF16" t="s">
        <v>188</v>
      </c>
      <c r="FHG16" t="s">
        <v>188</v>
      </c>
      <c r="FHH16" t="s">
        <v>188</v>
      </c>
      <c r="FHI16" t="s">
        <v>188</v>
      </c>
      <c r="FHJ16" t="s">
        <v>188</v>
      </c>
      <c r="FHK16" t="s">
        <v>188</v>
      </c>
      <c r="FHL16" t="s">
        <v>188</v>
      </c>
      <c r="FHM16" t="s">
        <v>188</v>
      </c>
      <c r="FHN16" t="s">
        <v>188</v>
      </c>
      <c r="FHO16" t="s">
        <v>188</v>
      </c>
      <c r="FHP16" t="s">
        <v>188</v>
      </c>
      <c r="FHQ16" t="s">
        <v>188</v>
      </c>
      <c r="FHR16" t="s">
        <v>188</v>
      </c>
      <c r="FHS16" t="s">
        <v>188</v>
      </c>
      <c r="FHT16" t="s">
        <v>188</v>
      </c>
      <c r="FHU16" t="s">
        <v>188</v>
      </c>
      <c r="FHV16" t="s">
        <v>188</v>
      </c>
      <c r="FHW16" t="s">
        <v>188</v>
      </c>
      <c r="FHX16" t="s">
        <v>188</v>
      </c>
      <c r="FHY16" t="s">
        <v>188</v>
      </c>
      <c r="FHZ16" t="s">
        <v>188</v>
      </c>
      <c r="FIA16" t="s">
        <v>188</v>
      </c>
      <c r="FIB16" t="s">
        <v>188</v>
      </c>
      <c r="FIC16" t="s">
        <v>188</v>
      </c>
      <c r="FID16" t="s">
        <v>188</v>
      </c>
      <c r="FIE16" t="s">
        <v>188</v>
      </c>
      <c r="FIF16" t="s">
        <v>188</v>
      </c>
      <c r="FIG16" t="s">
        <v>188</v>
      </c>
      <c r="FIH16" t="s">
        <v>188</v>
      </c>
      <c r="FII16" t="s">
        <v>188</v>
      </c>
      <c r="FIJ16" t="s">
        <v>188</v>
      </c>
      <c r="FIK16" t="s">
        <v>188</v>
      </c>
      <c r="FIL16" t="s">
        <v>188</v>
      </c>
      <c r="FIM16" t="s">
        <v>188</v>
      </c>
      <c r="FIN16" t="s">
        <v>188</v>
      </c>
      <c r="FIO16" t="s">
        <v>188</v>
      </c>
      <c r="FIP16" t="s">
        <v>188</v>
      </c>
      <c r="FIQ16" t="s">
        <v>188</v>
      </c>
      <c r="FIR16" t="s">
        <v>188</v>
      </c>
      <c r="FIS16" t="s">
        <v>188</v>
      </c>
      <c r="FIT16" t="s">
        <v>188</v>
      </c>
      <c r="FIU16" t="s">
        <v>188</v>
      </c>
      <c r="FIV16" t="s">
        <v>188</v>
      </c>
      <c r="FIW16" t="s">
        <v>188</v>
      </c>
      <c r="FIX16" t="s">
        <v>188</v>
      </c>
      <c r="FIY16" t="s">
        <v>188</v>
      </c>
      <c r="FIZ16" t="s">
        <v>188</v>
      </c>
      <c r="FJA16" t="s">
        <v>188</v>
      </c>
      <c r="FJB16" t="s">
        <v>188</v>
      </c>
      <c r="FJC16" t="s">
        <v>188</v>
      </c>
      <c r="FJD16" t="s">
        <v>188</v>
      </c>
      <c r="FJE16" t="s">
        <v>188</v>
      </c>
      <c r="FJF16" t="s">
        <v>188</v>
      </c>
      <c r="FJG16" t="s">
        <v>188</v>
      </c>
      <c r="FJH16" t="s">
        <v>188</v>
      </c>
      <c r="FJI16" t="s">
        <v>188</v>
      </c>
      <c r="FJJ16" t="s">
        <v>188</v>
      </c>
      <c r="FJK16" t="s">
        <v>188</v>
      </c>
      <c r="FJL16" t="s">
        <v>188</v>
      </c>
      <c r="FJM16" t="s">
        <v>188</v>
      </c>
      <c r="FJN16" t="s">
        <v>188</v>
      </c>
      <c r="FJO16" t="s">
        <v>188</v>
      </c>
      <c r="FJP16" t="s">
        <v>188</v>
      </c>
      <c r="FJQ16" t="s">
        <v>188</v>
      </c>
      <c r="FJR16" t="s">
        <v>188</v>
      </c>
      <c r="FJS16" t="s">
        <v>188</v>
      </c>
      <c r="FJT16" t="s">
        <v>188</v>
      </c>
      <c r="FJU16" t="s">
        <v>188</v>
      </c>
      <c r="FJV16" t="s">
        <v>188</v>
      </c>
      <c r="FJW16" t="s">
        <v>188</v>
      </c>
      <c r="FJX16" t="s">
        <v>188</v>
      </c>
      <c r="FJY16" t="s">
        <v>188</v>
      </c>
      <c r="FJZ16" t="s">
        <v>188</v>
      </c>
      <c r="FKA16" t="s">
        <v>188</v>
      </c>
      <c r="FKB16" t="s">
        <v>188</v>
      </c>
      <c r="FKC16" t="s">
        <v>188</v>
      </c>
      <c r="FKD16" t="s">
        <v>188</v>
      </c>
      <c r="FKE16" t="s">
        <v>188</v>
      </c>
      <c r="FKF16" t="s">
        <v>188</v>
      </c>
      <c r="FKG16" t="s">
        <v>188</v>
      </c>
      <c r="FKH16" t="s">
        <v>188</v>
      </c>
      <c r="FKI16" t="s">
        <v>188</v>
      </c>
      <c r="FKJ16" t="s">
        <v>188</v>
      </c>
      <c r="FKK16" t="s">
        <v>188</v>
      </c>
      <c r="FKL16" t="s">
        <v>188</v>
      </c>
      <c r="FKM16" t="s">
        <v>188</v>
      </c>
      <c r="FKN16" t="s">
        <v>188</v>
      </c>
      <c r="FKO16" t="s">
        <v>188</v>
      </c>
      <c r="FKP16" t="s">
        <v>188</v>
      </c>
      <c r="FKQ16" t="s">
        <v>188</v>
      </c>
      <c r="FKR16" t="s">
        <v>188</v>
      </c>
      <c r="FKS16" t="s">
        <v>188</v>
      </c>
      <c r="FKT16" t="s">
        <v>188</v>
      </c>
      <c r="FKU16" t="s">
        <v>188</v>
      </c>
      <c r="FKV16" t="s">
        <v>188</v>
      </c>
      <c r="FKW16" t="s">
        <v>188</v>
      </c>
      <c r="FKX16" t="s">
        <v>188</v>
      </c>
      <c r="FKY16" t="s">
        <v>188</v>
      </c>
      <c r="FKZ16" t="s">
        <v>188</v>
      </c>
      <c r="FLA16" t="s">
        <v>188</v>
      </c>
      <c r="FLB16" t="s">
        <v>188</v>
      </c>
      <c r="FLC16" t="s">
        <v>188</v>
      </c>
      <c r="FLD16" t="s">
        <v>188</v>
      </c>
      <c r="FLE16" t="s">
        <v>188</v>
      </c>
      <c r="FLF16" t="s">
        <v>188</v>
      </c>
      <c r="FLG16" t="s">
        <v>188</v>
      </c>
      <c r="FLH16" t="s">
        <v>188</v>
      </c>
      <c r="FLI16" t="s">
        <v>188</v>
      </c>
      <c r="FLJ16" t="s">
        <v>188</v>
      </c>
      <c r="FLK16" t="s">
        <v>188</v>
      </c>
      <c r="FLL16" t="s">
        <v>188</v>
      </c>
      <c r="FLM16" t="s">
        <v>188</v>
      </c>
      <c r="FLN16" t="s">
        <v>188</v>
      </c>
      <c r="FLO16" t="s">
        <v>188</v>
      </c>
      <c r="FLP16" t="s">
        <v>188</v>
      </c>
      <c r="FLQ16" t="s">
        <v>188</v>
      </c>
      <c r="FLR16" t="s">
        <v>188</v>
      </c>
      <c r="FLS16" t="s">
        <v>188</v>
      </c>
      <c r="FLT16" t="s">
        <v>188</v>
      </c>
      <c r="FLU16" t="s">
        <v>188</v>
      </c>
      <c r="FLV16" t="s">
        <v>188</v>
      </c>
      <c r="FLW16" t="s">
        <v>188</v>
      </c>
      <c r="FLX16" t="s">
        <v>188</v>
      </c>
      <c r="FLY16" t="s">
        <v>188</v>
      </c>
      <c r="FLZ16" t="s">
        <v>188</v>
      </c>
      <c r="FMA16" t="s">
        <v>188</v>
      </c>
      <c r="FMB16" t="s">
        <v>188</v>
      </c>
      <c r="FMC16" t="s">
        <v>188</v>
      </c>
      <c r="FMD16" t="s">
        <v>188</v>
      </c>
      <c r="FME16" t="s">
        <v>188</v>
      </c>
      <c r="FMF16" t="s">
        <v>188</v>
      </c>
      <c r="FMG16" t="s">
        <v>188</v>
      </c>
      <c r="FMH16" t="s">
        <v>188</v>
      </c>
      <c r="FMI16" t="s">
        <v>188</v>
      </c>
      <c r="FMJ16" t="s">
        <v>188</v>
      </c>
      <c r="FMK16" t="s">
        <v>188</v>
      </c>
      <c r="FML16" t="s">
        <v>188</v>
      </c>
      <c r="FMM16" t="s">
        <v>188</v>
      </c>
      <c r="FMN16" t="s">
        <v>188</v>
      </c>
      <c r="FMO16" t="s">
        <v>188</v>
      </c>
      <c r="FMP16" t="s">
        <v>188</v>
      </c>
      <c r="FMQ16" t="s">
        <v>188</v>
      </c>
      <c r="FMR16" t="s">
        <v>188</v>
      </c>
      <c r="FMS16" t="s">
        <v>188</v>
      </c>
      <c r="FMT16" t="s">
        <v>188</v>
      </c>
      <c r="FMU16" t="s">
        <v>188</v>
      </c>
      <c r="FMV16" t="s">
        <v>188</v>
      </c>
      <c r="FMW16" t="s">
        <v>188</v>
      </c>
      <c r="FMX16" t="s">
        <v>188</v>
      </c>
      <c r="FMY16" t="s">
        <v>188</v>
      </c>
      <c r="FMZ16" t="s">
        <v>188</v>
      </c>
      <c r="FNA16" t="s">
        <v>188</v>
      </c>
      <c r="FNB16" t="s">
        <v>188</v>
      </c>
      <c r="FNC16" t="s">
        <v>188</v>
      </c>
      <c r="FND16" t="s">
        <v>188</v>
      </c>
      <c r="FNE16" t="s">
        <v>188</v>
      </c>
      <c r="FNF16" t="s">
        <v>188</v>
      </c>
      <c r="FNG16" t="s">
        <v>188</v>
      </c>
      <c r="FNH16" t="s">
        <v>188</v>
      </c>
      <c r="FNI16" t="s">
        <v>188</v>
      </c>
      <c r="FNJ16" t="s">
        <v>188</v>
      </c>
      <c r="FNK16" t="s">
        <v>188</v>
      </c>
      <c r="FNL16" t="s">
        <v>188</v>
      </c>
      <c r="FNM16" t="s">
        <v>188</v>
      </c>
      <c r="FNN16" t="s">
        <v>188</v>
      </c>
      <c r="FNO16" t="s">
        <v>188</v>
      </c>
      <c r="FNP16" t="s">
        <v>188</v>
      </c>
      <c r="FNQ16" t="s">
        <v>188</v>
      </c>
      <c r="FNR16" t="s">
        <v>188</v>
      </c>
      <c r="FNS16" t="s">
        <v>188</v>
      </c>
      <c r="FNT16" t="s">
        <v>188</v>
      </c>
      <c r="FNU16" t="s">
        <v>188</v>
      </c>
      <c r="FNV16" t="s">
        <v>188</v>
      </c>
      <c r="FNW16" t="s">
        <v>188</v>
      </c>
      <c r="FNX16" t="s">
        <v>188</v>
      </c>
      <c r="FNY16" t="s">
        <v>188</v>
      </c>
      <c r="FNZ16" t="s">
        <v>188</v>
      </c>
      <c r="FOA16" t="s">
        <v>188</v>
      </c>
      <c r="FOB16" t="s">
        <v>188</v>
      </c>
      <c r="FOC16" t="s">
        <v>188</v>
      </c>
      <c r="FOD16" t="s">
        <v>188</v>
      </c>
      <c r="FOE16" t="s">
        <v>188</v>
      </c>
      <c r="FOF16" t="s">
        <v>188</v>
      </c>
      <c r="FOG16" t="s">
        <v>188</v>
      </c>
      <c r="FOH16" t="s">
        <v>188</v>
      </c>
      <c r="FOI16" t="s">
        <v>188</v>
      </c>
      <c r="FOJ16" t="s">
        <v>188</v>
      </c>
      <c r="FOK16" t="s">
        <v>188</v>
      </c>
      <c r="FOL16" t="s">
        <v>188</v>
      </c>
      <c r="FOM16" t="s">
        <v>188</v>
      </c>
      <c r="FON16" t="s">
        <v>188</v>
      </c>
      <c r="FOO16" t="s">
        <v>188</v>
      </c>
      <c r="FOP16" t="s">
        <v>188</v>
      </c>
      <c r="FOQ16" t="s">
        <v>188</v>
      </c>
      <c r="FOR16" t="s">
        <v>188</v>
      </c>
      <c r="FOS16" t="s">
        <v>188</v>
      </c>
      <c r="FOT16" t="s">
        <v>188</v>
      </c>
      <c r="FOU16" t="s">
        <v>188</v>
      </c>
      <c r="FOV16" t="s">
        <v>188</v>
      </c>
      <c r="FOW16" t="s">
        <v>188</v>
      </c>
      <c r="FOX16" t="s">
        <v>188</v>
      </c>
      <c r="FOY16" t="s">
        <v>188</v>
      </c>
      <c r="FOZ16" t="s">
        <v>188</v>
      </c>
      <c r="FPA16" t="s">
        <v>188</v>
      </c>
      <c r="FPB16" t="s">
        <v>188</v>
      </c>
      <c r="FPC16" t="s">
        <v>188</v>
      </c>
      <c r="FPD16" t="s">
        <v>188</v>
      </c>
      <c r="FPE16" t="s">
        <v>188</v>
      </c>
      <c r="FPF16" t="s">
        <v>188</v>
      </c>
      <c r="FPG16" t="s">
        <v>188</v>
      </c>
      <c r="FPH16" t="s">
        <v>188</v>
      </c>
      <c r="FPI16" t="s">
        <v>188</v>
      </c>
      <c r="FPJ16" t="s">
        <v>188</v>
      </c>
      <c r="FPK16" t="s">
        <v>188</v>
      </c>
      <c r="FPL16" t="s">
        <v>188</v>
      </c>
      <c r="FPM16" t="s">
        <v>188</v>
      </c>
      <c r="FPN16" t="s">
        <v>188</v>
      </c>
      <c r="FPO16" t="s">
        <v>188</v>
      </c>
      <c r="FPP16" t="s">
        <v>188</v>
      </c>
      <c r="FPQ16" t="s">
        <v>188</v>
      </c>
      <c r="FPR16" t="s">
        <v>188</v>
      </c>
      <c r="FPS16" t="s">
        <v>188</v>
      </c>
      <c r="FPT16" t="s">
        <v>188</v>
      </c>
      <c r="FPU16" t="s">
        <v>188</v>
      </c>
      <c r="FPV16" t="s">
        <v>188</v>
      </c>
      <c r="FPW16" t="s">
        <v>188</v>
      </c>
      <c r="FPX16" t="s">
        <v>188</v>
      </c>
      <c r="FPY16" t="s">
        <v>188</v>
      </c>
      <c r="FPZ16" t="s">
        <v>188</v>
      </c>
      <c r="FQA16" t="s">
        <v>188</v>
      </c>
      <c r="FQB16" t="s">
        <v>188</v>
      </c>
      <c r="FQC16" t="s">
        <v>188</v>
      </c>
      <c r="FQD16" t="s">
        <v>188</v>
      </c>
      <c r="FQE16" t="s">
        <v>188</v>
      </c>
      <c r="FQF16" t="s">
        <v>188</v>
      </c>
      <c r="FQG16" t="s">
        <v>188</v>
      </c>
      <c r="FQH16" t="s">
        <v>188</v>
      </c>
      <c r="FQI16" t="s">
        <v>188</v>
      </c>
      <c r="FQJ16" t="s">
        <v>188</v>
      </c>
      <c r="FQK16" t="s">
        <v>188</v>
      </c>
      <c r="FQL16" t="s">
        <v>188</v>
      </c>
      <c r="FQM16" t="s">
        <v>188</v>
      </c>
      <c r="FQN16" t="s">
        <v>188</v>
      </c>
      <c r="FQO16" t="s">
        <v>188</v>
      </c>
      <c r="FQP16" t="s">
        <v>188</v>
      </c>
      <c r="FQQ16" t="s">
        <v>188</v>
      </c>
      <c r="FQR16" t="s">
        <v>188</v>
      </c>
      <c r="FQS16" t="s">
        <v>188</v>
      </c>
      <c r="FQT16" t="s">
        <v>188</v>
      </c>
      <c r="FQU16" t="s">
        <v>188</v>
      </c>
      <c r="FQV16" t="s">
        <v>188</v>
      </c>
      <c r="FQW16" t="s">
        <v>188</v>
      </c>
      <c r="FQX16" t="s">
        <v>188</v>
      </c>
      <c r="FQY16" t="s">
        <v>188</v>
      </c>
      <c r="FQZ16" t="s">
        <v>188</v>
      </c>
      <c r="FRA16" t="s">
        <v>188</v>
      </c>
      <c r="FRB16" t="s">
        <v>188</v>
      </c>
      <c r="FRC16" t="s">
        <v>188</v>
      </c>
      <c r="FRD16" t="s">
        <v>188</v>
      </c>
      <c r="FRE16" t="s">
        <v>188</v>
      </c>
      <c r="FRF16" t="s">
        <v>188</v>
      </c>
      <c r="FRG16" t="s">
        <v>188</v>
      </c>
      <c r="FRH16" t="s">
        <v>188</v>
      </c>
      <c r="FRI16" t="s">
        <v>188</v>
      </c>
      <c r="FRJ16" t="s">
        <v>188</v>
      </c>
      <c r="FRK16" t="s">
        <v>188</v>
      </c>
      <c r="FRL16" t="s">
        <v>188</v>
      </c>
      <c r="FRM16" t="s">
        <v>188</v>
      </c>
      <c r="FRN16" t="s">
        <v>188</v>
      </c>
      <c r="FRO16" t="s">
        <v>188</v>
      </c>
      <c r="FRP16" t="s">
        <v>188</v>
      </c>
      <c r="FRQ16" t="s">
        <v>188</v>
      </c>
      <c r="FRR16" t="s">
        <v>188</v>
      </c>
      <c r="FRS16" t="s">
        <v>188</v>
      </c>
      <c r="FRT16" t="s">
        <v>188</v>
      </c>
      <c r="FRU16" t="s">
        <v>188</v>
      </c>
      <c r="FRV16" t="s">
        <v>188</v>
      </c>
      <c r="FRW16" t="s">
        <v>188</v>
      </c>
      <c r="FRX16" t="s">
        <v>188</v>
      </c>
      <c r="FRY16" t="s">
        <v>188</v>
      </c>
      <c r="FRZ16" t="s">
        <v>188</v>
      </c>
      <c r="FSA16" t="s">
        <v>188</v>
      </c>
      <c r="FSB16" t="s">
        <v>188</v>
      </c>
      <c r="FSC16" t="s">
        <v>188</v>
      </c>
      <c r="FSD16" t="s">
        <v>188</v>
      </c>
      <c r="FSE16" t="s">
        <v>188</v>
      </c>
      <c r="FSF16" t="s">
        <v>188</v>
      </c>
      <c r="FSG16" t="s">
        <v>188</v>
      </c>
      <c r="FSH16" t="s">
        <v>188</v>
      </c>
      <c r="FSI16" t="s">
        <v>188</v>
      </c>
      <c r="FSJ16" t="s">
        <v>188</v>
      </c>
      <c r="FSK16" t="s">
        <v>188</v>
      </c>
      <c r="FSL16" t="s">
        <v>188</v>
      </c>
      <c r="FSM16" t="s">
        <v>188</v>
      </c>
      <c r="FSN16" t="s">
        <v>188</v>
      </c>
      <c r="FSO16" t="s">
        <v>188</v>
      </c>
      <c r="FSP16" t="s">
        <v>188</v>
      </c>
      <c r="FSQ16" t="s">
        <v>188</v>
      </c>
      <c r="FSR16" t="s">
        <v>188</v>
      </c>
      <c r="FSS16" t="s">
        <v>188</v>
      </c>
      <c r="FST16" t="s">
        <v>188</v>
      </c>
      <c r="FSU16" t="s">
        <v>188</v>
      </c>
      <c r="FSV16" t="s">
        <v>188</v>
      </c>
      <c r="FSW16" t="s">
        <v>188</v>
      </c>
      <c r="FSX16" t="s">
        <v>188</v>
      </c>
      <c r="FSY16" t="s">
        <v>188</v>
      </c>
      <c r="FSZ16" t="s">
        <v>188</v>
      </c>
      <c r="FTA16" t="s">
        <v>188</v>
      </c>
      <c r="FTB16" t="s">
        <v>188</v>
      </c>
      <c r="FTC16" t="s">
        <v>188</v>
      </c>
      <c r="FTD16" t="s">
        <v>188</v>
      </c>
      <c r="FTE16" t="s">
        <v>188</v>
      </c>
      <c r="FTF16" t="s">
        <v>188</v>
      </c>
      <c r="FTG16" t="s">
        <v>188</v>
      </c>
      <c r="FTH16" t="s">
        <v>188</v>
      </c>
      <c r="FTI16" t="s">
        <v>188</v>
      </c>
      <c r="FTJ16" t="s">
        <v>188</v>
      </c>
      <c r="FTK16" t="s">
        <v>188</v>
      </c>
      <c r="FTL16" t="s">
        <v>188</v>
      </c>
      <c r="FTM16" t="s">
        <v>188</v>
      </c>
      <c r="FTN16" t="s">
        <v>188</v>
      </c>
      <c r="FTO16" t="s">
        <v>188</v>
      </c>
      <c r="FTP16" t="s">
        <v>188</v>
      </c>
      <c r="FTQ16" t="s">
        <v>188</v>
      </c>
      <c r="FTR16" t="s">
        <v>188</v>
      </c>
      <c r="FTS16" t="s">
        <v>188</v>
      </c>
      <c r="FTT16" t="s">
        <v>188</v>
      </c>
      <c r="FTU16" t="s">
        <v>188</v>
      </c>
      <c r="FTV16" t="s">
        <v>188</v>
      </c>
      <c r="FTW16" t="s">
        <v>188</v>
      </c>
      <c r="FTX16" t="s">
        <v>188</v>
      </c>
      <c r="FTY16" t="s">
        <v>188</v>
      </c>
      <c r="FTZ16" t="s">
        <v>188</v>
      </c>
      <c r="FUA16" t="s">
        <v>188</v>
      </c>
      <c r="FUB16" t="s">
        <v>188</v>
      </c>
      <c r="FUC16" t="s">
        <v>188</v>
      </c>
      <c r="FUD16" t="s">
        <v>188</v>
      </c>
      <c r="FUE16" t="s">
        <v>188</v>
      </c>
      <c r="FUF16" t="s">
        <v>188</v>
      </c>
      <c r="FUG16" t="s">
        <v>188</v>
      </c>
      <c r="FUH16" t="s">
        <v>188</v>
      </c>
      <c r="FUI16" t="s">
        <v>188</v>
      </c>
      <c r="FUJ16" t="s">
        <v>188</v>
      </c>
      <c r="FUK16" t="s">
        <v>188</v>
      </c>
      <c r="FUL16" t="s">
        <v>188</v>
      </c>
      <c r="FUM16" t="s">
        <v>188</v>
      </c>
      <c r="FUN16" t="s">
        <v>188</v>
      </c>
      <c r="FUO16" t="s">
        <v>188</v>
      </c>
      <c r="FUP16" t="s">
        <v>188</v>
      </c>
      <c r="FUQ16" t="s">
        <v>188</v>
      </c>
      <c r="FUR16" t="s">
        <v>188</v>
      </c>
      <c r="FUS16" t="s">
        <v>188</v>
      </c>
      <c r="FUT16" t="s">
        <v>188</v>
      </c>
      <c r="FUU16" t="s">
        <v>188</v>
      </c>
      <c r="FUV16" t="s">
        <v>188</v>
      </c>
      <c r="FUW16" t="s">
        <v>188</v>
      </c>
      <c r="FUX16" t="s">
        <v>188</v>
      </c>
      <c r="FUY16" t="s">
        <v>188</v>
      </c>
      <c r="FUZ16" t="s">
        <v>188</v>
      </c>
      <c r="FVA16" t="s">
        <v>188</v>
      </c>
      <c r="FVB16" t="s">
        <v>188</v>
      </c>
      <c r="FVC16" t="s">
        <v>188</v>
      </c>
      <c r="FVD16" t="s">
        <v>188</v>
      </c>
      <c r="FVE16" t="s">
        <v>188</v>
      </c>
      <c r="FVF16" t="s">
        <v>188</v>
      </c>
      <c r="FVG16" t="s">
        <v>188</v>
      </c>
      <c r="FVH16" t="s">
        <v>188</v>
      </c>
      <c r="FVI16" t="s">
        <v>188</v>
      </c>
      <c r="FVJ16" t="s">
        <v>188</v>
      </c>
      <c r="FVK16" t="s">
        <v>188</v>
      </c>
      <c r="FVL16" t="s">
        <v>188</v>
      </c>
      <c r="FVM16" t="s">
        <v>188</v>
      </c>
      <c r="FVN16" t="s">
        <v>188</v>
      </c>
      <c r="FVO16" t="s">
        <v>188</v>
      </c>
      <c r="FVP16" t="s">
        <v>188</v>
      </c>
      <c r="FVQ16" t="s">
        <v>188</v>
      </c>
      <c r="FVR16" t="s">
        <v>188</v>
      </c>
      <c r="FVS16" t="s">
        <v>188</v>
      </c>
      <c r="FVT16" t="s">
        <v>188</v>
      </c>
      <c r="FVU16" t="s">
        <v>188</v>
      </c>
      <c r="FVV16" t="s">
        <v>188</v>
      </c>
      <c r="FVW16" t="s">
        <v>188</v>
      </c>
      <c r="FVX16" t="s">
        <v>188</v>
      </c>
      <c r="FVY16" t="s">
        <v>188</v>
      </c>
      <c r="FVZ16" t="s">
        <v>188</v>
      </c>
      <c r="FWA16" t="s">
        <v>188</v>
      </c>
      <c r="FWB16" t="s">
        <v>188</v>
      </c>
      <c r="FWC16" t="s">
        <v>188</v>
      </c>
      <c r="FWD16" t="s">
        <v>188</v>
      </c>
      <c r="FWE16" t="s">
        <v>188</v>
      </c>
      <c r="FWF16" t="s">
        <v>188</v>
      </c>
      <c r="FWG16" t="s">
        <v>188</v>
      </c>
      <c r="FWH16" t="s">
        <v>188</v>
      </c>
      <c r="FWI16" t="s">
        <v>188</v>
      </c>
      <c r="FWJ16" t="s">
        <v>188</v>
      </c>
      <c r="FWK16" t="s">
        <v>188</v>
      </c>
      <c r="FWL16" t="s">
        <v>188</v>
      </c>
      <c r="FWM16" t="s">
        <v>188</v>
      </c>
      <c r="FWN16" t="s">
        <v>188</v>
      </c>
      <c r="FWO16" t="s">
        <v>188</v>
      </c>
      <c r="FWP16" t="s">
        <v>188</v>
      </c>
      <c r="FWQ16" t="s">
        <v>188</v>
      </c>
      <c r="FWR16" t="s">
        <v>188</v>
      </c>
      <c r="FWS16" t="s">
        <v>188</v>
      </c>
      <c r="FWT16" t="s">
        <v>188</v>
      </c>
      <c r="FWU16" t="s">
        <v>188</v>
      </c>
      <c r="FWV16" t="s">
        <v>188</v>
      </c>
      <c r="FWW16" t="s">
        <v>188</v>
      </c>
      <c r="FWX16" t="s">
        <v>188</v>
      </c>
      <c r="FWY16" t="s">
        <v>188</v>
      </c>
      <c r="FWZ16" t="s">
        <v>188</v>
      </c>
      <c r="FXA16" t="s">
        <v>188</v>
      </c>
      <c r="FXB16" t="s">
        <v>188</v>
      </c>
      <c r="FXC16" t="s">
        <v>188</v>
      </c>
      <c r="FXD16" t="s">
        <v>188</v>
      </c>
      <c r="FXE16" t="s">
        <v>188</v>
      </c>
      <c r="FXF16" t="s">
        <v>188</v>
      </c>
      <c r="FXG16" t="s">
        <v>188</v>
      </c>
      <c r="FXH16" t="s">
        <v>188</v>
      </c>
      <c r="FXI16" t="s">
        <v>188</v>
      </c>
      <c r="FXJ16" t="s">
        <v>188</v>
      </c>
      <c r="FXK16" t="s">
        <v>188</v>
      </c>
      <c r="FXL16" t="s">
        <v>188</v>
      </c>
      <c r="FXM16" t="s">
        <v>188</v>
      </c>
      <c r="FXN16" t="s">
        <v>188</v>
      </c>
      <c r="FXO16" t="s">
        <v>188</v>
      </c>
      <c r="FXP16" t="s">
        <v>188</v>
      </c>
      <c r="FXQ16" t="s">
        <v>188</v>
      </c>
      <c r="FXR16" t="s">
        <v>188</v>
      </c>
      <c r="FXS16" t="s">
        <v>188</v>
      </c>
      <c r="FXT16" t="s">
        <v>188</v>
      </c>
      <c r="FXU16" t="s">
        <v>188</v>
      </c>
      <c r="FXV16" t="s">
        <v>188</v>
      </c>
      <c r="FXW16" t="s">
        <v>188</v>
      </c>
      <c r="FXX16" t="s">
        <v>188</v>
      </c>
      <c r="FXY16" t="s">
        <v>188</v>
      </c>
      <c r="FXZ16" t="s">
        <v>188</v>
      </c>
      <c r="FYA16" t="s">
        <v>188</v>
      </c>
      <c r="FYB16" t="s">
        <v>188</v>
      </c>
      <c r="FYC16" t="s">
        <v>188</v>
      </c>
      <c r="FYD16" t="s">
        <v>188</v>
      </c>
      <c r="FYE16" t="s">
        <v>188</v>
      </c>
      <c r="FYF16" t="s">
        <v>188</v>
      </c>
      <c r="FYG16" t="s">
        <v>188</v>
      </c>
      <c r="FYH16" t="s">
        <v>188</v>
      </c>
      <c r="FYI16" t="s">
        <v>188</v>
      </c>
      <c r="FYJ16" t="s">
        <v>188</v>
      </c>
      <c r="FYK16" t="s">
        <v>188</v>
      </c>
      <c r="FYL16" t="s">
        <v>188</v>
      </c>
      <c r="FYM16" t="s">
        <v>188</v>
      </c>
      <c r="FYN16" t="s">
        <v>188</v>
      </c>
      <c r="FYO16" t="s">
        <v>188</v>
      </c>
      <c r="FYP16" t="s">
        <v>188</v>
      </c>
      <c r="FYQ16" t="s">
        <v>188</v>
      </c>
      <c r="FYR16" t="s">
        <v>188</v>
      </c>
      <c r="FYS16" t="s">
        <v>188</v>
      </c>
      <c r="FYT16" t="s">
        <v>188</v>
      </c>
      <c r="FYU16" t="s">
        <v>188</v>
      </c>
      <c r="FYV16" t="s">
        <v>188</v>
      </c>
      <c r="FYW16" t="s">
        <v>188</v>
      </c>
      <c r="FYX16" t="s">
        <v>188</v>
      </c>
      <c r="FYY16" t="s">
        <v>188</v>
      </c>
      <c r="FYZ16" t="s">
        <v>188</v>
      </c>
      <c r="FZA16" t="s">
        <v>188</v>
      </c>
      <c r="FZB16" t="s">
        <v>188</v>
      </c>
      <c r="FZC16" t="s">
        <v>188</v>
      </c>
      <c r="FZD16" t="s">
        <v>188</v>
      </c>
      <c r="FZE16" t="s">
        <v>188</v>
      </c>
      <c r="FZF16" t="s">
        <v>188</v>
      </c>
      <c r="FZG16" t="s">
        <v>188</v>
      </c>
      <c r="FZH16" t="s">
        <v>188</v>
      </c>
      <c r="FZI16" t="s">
        <v>188</v>
      </c>
      <c r="FZJ16" t="s">
        <v>188</v>
      </c>
      <c r="FZK16" t="s">
        <v>188</v>
      </c>
      <c r="FZL16" t="s">
        <v>188</v>
      </c>
      <c r="FZM16" t="s">
        <v>188</v>
      </c>
      <c r="FZN16" t="s">
        <v>188</v>
      </c>
      <c r="FZO16" t="s">
        <v>188</v>
      </c>
      <c r="FZP16" t="s">
        <v>188</v>
      </c>
      <c r="FZQ16" t="s">
        <v>188</v>
      </c>
      <c r="FZR16" t="s">
        <v>188</v>
      </c>
      <c r="FZS16" t="s">
        <v>188</v>
      </c>
      <c r="FZT16" t="s">
        <v>188</v>
      </c>
      <c r="FZU16" t="s">
        <v>188</v>
      </c>
      <c r="FZV16" t="s">
        <v>188</v>
      </c>
      <c r="FZW16" t="s">
        <v>188</v>
      </c>
      <c r="FZX16" t="s">
        <v>188</v>
      </c>
      <c r="FZY16" t="s">
        <v>188</v>
      </c>
      <c r="FZZ16" t="s">
        <v>188</v>
      </c>
      <c r="GAA16" t="s">
        <v>188</v>
      </c>
      <c r="GAB16" t="s">
        <v>188</v>
      </c>
      <c r="GAC16" t="s">
        <v>188</v>
      </c>
      <c r="GAD16" t="s">
        <v>188</v>
      </c>
      <c r="GAE16" t="s">
        <v>188</v>
      </c>
      <c r="GAF16" t="s">
        <v>188</v>
      </c>
      <c r="GAG16" t="s">
        <v>188</v>
      </c>
      <c r="GAH16" t="s">
        <v>188</v>
      </c>
      <c r="GAI16" t="s">
        <v>188</v>
      </c>
      <c r="GAJ16" t="s">
        <v>188</v>
      </c>
      <c r="GAK16" t="s">
        <v>188</v>
      </c>
      <c r="GAL16" t="s">
        <v>188</v>
      </c>
      <c r="GAM16" t="s">
        <v>188</v>
      </c>
      <c r="GAN16" t="s">
        <v>188</v>
      </c>
      <c r="GAO16" t="s">
        <v>188</v>
      </c>
      <c r="GAP16" t="s">
        <v>188</v>
      </c>
      <c r="GAQ16" t="s">
        <v>188</v>
      </c>
      <c r="GAR16" t="s">
        <v>188</v>
      </c>
      <c r="GAS16" t="s">
        <v>188</v>
      </c>
      <c r="GAT16" t="s">
        <v>188</v>
      </c>
      <c r="GAU16" t="s">
        <v>188</v>
      </c>
      <c r="GAV16" t="s">
        <v>188</v>
      </c>
      <c r="GAW16" t="s">
        <v>188</v>
      </c>
      <c r="GAX16" t="s">
        <v>188</v>
      </c>
      <c r="GAY16" t="s">
        <v>188</v>
      </c>
      <c r="GAZ16" t="s">
        <v>188</v>
      </c>
      <c r="GBA16" t="s">
        <v>188</v>
      </c>
      <c r="GBB16" t="s">
        <v>188</v>
      </c>
      <c r="GBC16" t="s">
        <v>188</v>
      </c>
      <c r="GBD16" t="s">
        <v>188</v>
      </c>
      <c r="GBE16" t="s">
        <v>188</v>
      </c>
      <c r="GBF16" t="s">
        <v>188</v>
      </c>
      <c r="GBG16" t="s">
        <v>188</v>
      </c>
      <c r="GBH16" t="s">
        <v>188</v>
      </c>
      <c r="GBI16" t="s">
        <v>188</v>
      </c>
      <c r="GBJ16" t="s">
        <v>188</v>
      </c>
      <c r="GBK16" t="s">
        <v>188</v>
      </c>
      <c r="GBL16" t="s">
        <v>188</v>
      </c>
      <c r="GBM16" t="s">
        <v>188</v>
      </c>
      <c r="GBN16" t="s">
        <v>188</v>
      </c>
      <c r="GBO16" t="s">
        <v>188</v>
      </c>
      <c r="GBP16" t="s">
        <v>188</v>
      </c>
      <c r="GBQ16" t="s">
        <v>188</v>
      </c>
      <c r="GBR16" t="s">
        <v>188</v>
      </c>
      <c r="GBS16" t="s">
        <v>188</v>
      </c>
      <c r="GBT16" t="s">
        <v>188</v>
      </c>
      <c r="GBU16" t="s">
        <v>188</v>
      </c>
      <c r="GBV16" t="s">
        <v>188</v>
      </c>
      <c r="GBW16" t="s">
        <v>188</v>
      </c>
      <c r="GBX16" t="s">
        <v>188</v>
      </c>
      <c r="GBY16" t="s">
        <v>188</v>
      </c>
      <c r="GBZ16" t="s">
        <v>188</v>
      </c>
      <c r="GCA16" t="s">
        <v>188</v>
      </c>
      <c r="GCB16" t="s">
        <v>188</v>
      </c>
      <c r="GCC16" t="s">
        <v>188</v>
      </c>
      <c r="GCD16" t="s">
        <v>188</v>
      </c>
      <c r="GCE16" t="s">
        <v>188</v>
      </c>
      <c r="GCF16" t="s">
        <v>188</v>
      </c>
      <c r="GCG16" t="s">
        <v>188</v>
      </c>
      <c r="GCH16" t="s">
        <v>188</v>
      </c>
      <c r="GCI16" t="s">
        <v>188</v>
      </c>
      <c r="GCJ16" t="s">
        <v>188</v>
      </c>
      <c r="GCK16" t="s">
        <v>188</v>
      </c>
      <c r="GCL16" t="s">
        <v>188</v>
      </c>
      <c r="GCM16" t="s">
        <v>188</v>
      </c>
      <c r="GCN16" t="s">
        <v>188</v>
      </c>
      <c r="GCO16" t="s">
        <v>188</v>
      </c>
      <c r="GCP16" t="s">
        <v>188</v>
      </c>
      <c r="GCQ16" t="s">
        <v>188</v>
      </c>
      <c r="GCR16" t="s">
        <v>188</v>
      </c>
      <c r="GCS16" t="s">
        <v>188</v>
      </c>
      <c r="GCT16" t="s">
        <v>188</v>
      </c>
      <c r="GCU16" t="s">
        <v>188</v>
      </c>
      <c r="GCV16" t="s">
        <v>188</v>
      </c>
      <c r="GCW16" t="s">
        <v>188</v>
      </c>
      <c r="GCX16" t="s">
        <v>188</v>
      </c>
      <c r="GCY16" t="s">
        <v>188</v>
      </c>
      <c r="GCZ16" t="s">
        <v>188</v>
      </c>
      <c r="GDA16" t="s">
        <v>188</v>
      </c>
      <c r="GDB16" t="s">
        <v>188</v>
      </c>
      <c r="GDC16" t="s">
        <v>188</v>
      </c>
      <c r="GDD16" t="s">
        <v>188</v>
      </c>
      <c r="GDE16" t="s">
        <v>188</v>
      </c>
      <c r="GDF16" t="s">
        <v>188</v>
      </c>
      <c r="GDG16" t="s">
        <v>188</v>
      </c>
      <c r="GDH16" t="s">
        <v>188</v>
      </c>
      <c r="GDI16" t="s">
        <v>188</v>
      </c>
      <c r="GDJ16" t="s">
        <v>188</v>
      </c>
      <c r="GDK16" t="s">
        <v>188</v>
      </c>
      <c r="GDL16" t="s">
        <v>188</v>
      </c>
      <c r="GDM16" t="s">
        <v>188</v>
      </c>
      <c r="GDN16" t="s">
        <v>188</v>
      </c>
      <c r="GDO16" t="s">
        <v>188</v>
      </c>
      <c r="GDP16" t="s">
        <v>188</v>
      </c>
      <c r="GDQ16" t="s">
        <v>188</v>
      </c>
      <c r="GDR16" t="s">
        <v>188</v>
      </c>
      <c r="GDS16" t="s">
        <v>188</v>
      </c>
      <c r="GDT16" t="s">
        <v>188</v>
      </c>
      <c r="GDU16" t="s">
        <v>188</v>
      </c>
      <c r="GDV16" t="s">
        <v>188</v>
      </c>
      <c r="GDW16" t="s">
        <v>188</v>
      </c>
      <c r="GDX16" t="s">
        <v>188</v>
      </c>
      <c r="GDY16" t="s">
        <v>188</v>
      </c>
      <c r="GDZ16" t="s">
        <v>188</v>
      </c>
      <c r="GEA16" t="s">
        <v>188</v>
      </c>
      <c r="GEB16" t="s">
        <v>188</v>
      </c>
      <c r="GEC16" t="s">
        <v>188</v>
      </c>
      <c r="GED16" t="s">
        <v>188</v>
      </c>
      <c r="GEE16" t="s">
        <v>188</v>
      </c>
      <c r="GEF16" t="s">
        <v>188</v>
      </c>
      <c r="GEG16" t="s">
        <v>188</v>
      </c>
      <c r="GEH16" t="s">
        <v>188</v>
      </c>
      <c r="GEI16" t="s">
        <v>188</v>
      </c>
      <c r="GEJ16" t="s">
        <v>188</v>
      </c>
      <c r="GEK16" t="s">
        <v>188</v>
      </c>
      <c r="GEL16" t="s">
        <v>188</v>
      </c>
      <c r="GEM16" t="s">
        <v>188</v>
      </c>
      <c r="GEN16" t="s">
        <v>188</v>
      </c>
      <c r="GEO16" t="s">
        <v>188</v>
      </c>
      <c r="GEP16" t="s">
        <v>188</v>
      </c>
      <c r="GEQ16" t="s">
        <v>188</v>
      </c>
      <c r="GER16" t="s">
        <v>188</v>
      </c>
      <c r="GES16" t="s">
        <v>188</v>
      </c>
      <c r="GET16" t="s">
        <v>188</v>
      </c>
      <c r="GEU16" t="s">
        <v>188</v>
      </c>
      <c r="GEV16" t="s">
        <v>188</v>
      </c>
      <c r="GEW16" t="s">
        <v>188</v>
      </c>
      <c r="GEX16" t="s">
        <v>188</v>
      </c>
      <c r="GEY16" t="s">
        <v>188</v>
      </c>
      <c r="GEZ16" t="s">
        <v>188</v>
      </c>
      <c r="GFA16" t="s">
        <v>188</v>
      </c>
      <c r="GFB16" t="s">
        <v>188</v>
      </c>
      <c r="GFC16" t="s">
        <v>188</v>
      </c>
      <c r="GFD16" t="s">
        <v>188</v>
      </c>
      <c r="GFE16" t="s">
        <v>188</v>
      </c>
      <c r="GFF16" t="s">
        <v>188</v>
      </c>
      <c r="GFG16" t="s">
        <v>188</v>
      </c>
      <c r="GFH16" t="s">
        <v>188</v>
      </c>
      <c r="GFI16" t="s">
        <v>188</v>
      </c>
      <c r="GFJ16" t="s">
        <v>188</v>
      </c>
      <c r="GFK16" t="s">
        <v>188</v>
      </c>
      <c r="GFL16" t="s">
        <v>188</v>
      </c>
      <c r="GFM16" t="s">
        <v>188</v>
      </c>
      <c r="GFN16" t="s">
        <v>188</v>
      </c>
      <c r="GFO16" t="s">
        <v>188</v>
      </c>
      <c r="GFP16" t="s">
        <v>188</v>
      </c>
      <c r="GFQ16" t="s">
        <v>188</v>
      </c>
      <c r="GFR16" t="s">
        <v>188</v>
      </c>
      <c r="GFS16" t="s">
        <v>188</v>
      </c>
      <c r="GFT16" t="s">
        <v>188</v>
      </c>
      <c r="GFU16" t="s">
        <v>188</v>
      </c>
      <c r="GFV16" t="s">
        <v>188</v>
      </c>
      <c r="GFW16" t="s">
        <v>188</v>
      </c>
      <c r="GFX16" t="s">
        <v>188</v>
      </c>
      <c r="GFY16" t="s">
        <v>188</v>
      </c>
      <c r="GFZ16" t="s">
        <v>188</v>
      </c>
      <c r="GGA16" t="s">
        <v>188</v>
      </c>
      <c r="GGB16" t="s">
        <v>188</v>
      </c>
      <c r="GGC16" t="s">
        <v>188</v>
      </c>
      <c r="GGD16" t="s">
        <v>188</v>
      </c>
      <c r="GGE16" t="s">
        <v>188</v>
      </c>
      <c r="GGF16" t="s">
        <v>188</v>
      </c>
      <c r="GGG16" t="s">
        <v>188</v>
      </c>
      <c r="GGH16" t="s">
        <v>188</v>
      </c>
      <c r="GGI16" t="s">
        <v>188</v>
      </c>
      <c r="GGJ16" t="s">
        <v>188</v>
      </c>
      <c r="GGK16" t="s">
        <v>188</v>
      </c>
      <c r="GGL16" t="s">
        <v>188</v>
      </c>
      <c r="GGM16" t="s">
        <v>188</v>
      </c>
      <c r="GGN16" t="s">
        <v>188</v>
      </c>
      <c r="GGO16" t="s">
        <v>188</v>
      </c>
      <c r="GGP16" t="s">
        <v>188</v>
      </c>
      <c r="GGQ16" t="s">
        <v>188</v>
      </c>
      <c r="GGR16" t="s">
        <v>188</v>
      </c>
      <c r="GGS16" t="s">
        <v>188</v>
      </c>
      <c r="GGT16" t="s">
        <v>188</v>
      </c>
      <c r="GGU16" t="s">
        <v>188</v>
      </c>
      <c r="GGV16" t="s">
        <v>188</v>
      </c>
      <c r="GGW16" t="s">
        <v>188</v>
      </c>
      <c r="GGX16" t="s">
        <v>188</v>
      </c>
      <c r="GGY16" t="s">
        <v>188</v>
      </c>
      <c r="GGZ16" t="s">
        <v>188</v>
      </c>
      <c r="GHA16" t="s">
        <v>188</v>
      </c>
      <c r="GHB16" t="s">
        <v>188</v>
      </c>
      <c r="GHC16" t="s">
        <v>188</v>
      </c>
      <c r="GHD16" t="s">
        <v>188</v>
      </c>
      <c r="GHE16" t="s">
        <v>188</v>
      </c>
      <c r="GHF16" t="s">
        <v>188</v>
      </c>
      <c r="GHG16" t="s">
        <v>188</v>
      </c>
      <c r="GHH16" t="s">
        <v>188</v>
      </c>
      <c r="GHI16" t="s">
        <v>188</v>
      </c>
      <c r="GHJ16" t="s">
        <v>188</v>
      </c>
      <c r="GHK16" t="s">
        <v>188</v>
      </c>
      <c r="GHL16" t="s">
        <v>188</v>
      </c>
      <c r="GHM16" t="s">
        <v>188</v>
      </c>
      <c r="GHN16" t="s">
        <v>188</v>
      </c>
      <c r="GHO16" t="s">
        <v>188</v>
      </c>
      <c r="GHP16" t="s">
        <v>188</v>
      </c>
      <c r="GHQ16" t="s">
        <v>188</v>
      </c>
      <c r="GHR16" t="s">
        <v>188</v>
      </c>
      <c r="GHS16" t="s">
        <v>188</v>
      </c>
      <c r="GHT16" t="s">
        <v>188</v>
      </c>
      <c r="GHU16" t="s">
        <v>188</v>
      </c>
      <c r="GHV16" t="s">
        <v>188</v>
      </c>
      <c r="GHW16" t="s">
        <v>188</v>
      </c>
      <c r="GHX16" t="s">
        <v>188</v>
      </c>
      <c r="GHY16" t="s">
        <v>188</v>
      </c>
      <c r="GHZ16" t="s">
        <v>188</v>
      </c>
      <c r="GIA16" t="s">
        <v>188</v>
      </c>
      <c r="GIB16" t="s">
        <v>188</v>
      </c>
      <c r="GIC16" t="s">
        <v>188</v>
      </c>
      <c r="GID16" t="s">
        <v>188</v>
      </c>
      <c r="GIE16" t="s">
        <v>188</v>
      </c>
      <c r="GIF16" t="s">
        <v>188</v>
      </c>
      <c r="GIG16" t="s">
        <v>188</v>
      </c>
      <c r="GIH16" t="s">
        <v>188</v>
      </c>
      <c r="GII16" t="s">
        <v>188</v>
      </c>
      <c r="GIJ16" t="s">
        <v>188</v>
      </c>
      <c r="GIK16" t="s">
        <v>188</v>
      </c>
      <c r="GIL16" t="s">
        <v>188</v>
      </c>
      <c r="GIM16" t="s">
        <v>188</v>
      </c>
      <c r="GIN16" t="s">
        <v>188</v>
      </c>
      <c r="GIO16" t="s">
        <v>188</v>
      </c>
      <c r="GIP16" t="s">
        <v>188</v>
      </c>
      <c r="GIQ16" t="s">
        <v>188</v>
      </c>
      <c r="GIR16" t="s">
        <v>188</v>
      </c>
      <c r="GIS16" t="s">
        <v>188</v>
      </c>
      <c r="GIT16" t="s">
        <v>188</v>
      </c>
      <c r="GIU16" t="s">
        <v>188</v>
      </c>
      <c r="GIV16" t="s">
        <v>188</v>
      </c>
      <c r="GIW16" t="s">
        <v>188</v>
      </c>
      <c r="GIX16" t="s">
        <v>188</v>
      </c>
      <c r="GIY16" t="s">
        <v>188</v>
      </c>
      <c r="GIZ16" t="s">
        <v>188</v>
      </c>
      <c r="GJA16" t="s">
        <v>188</v>
      </c>
      <c r="GJB16" t="s">
        <v>188</v>
      </c>
      <c r="GJC16" t="s">
        <v>188</v>
      </c>
      <c r="GJD16" t="s">
        <v>188</v>
      </c>
      <c r="GJE16" t="s">
        <v>188</v>
      </c>
      <c r="GJF16" t="s">
        <v>188</v>
      </c>
      <c r="GJG16" t="s">
        <v>188</v>
      </c>
      <c r="GJH16" t="s">
        <v>188</v>
      </c>
      <c r="GJI16" t="s">
        <v>188</v>
      </c>
      <c r="GJJ16" t="s">
        <v>188</v>
      </c>
      <c r="GJK16" t="s">
        <v>188</v>
      </c>
      <c r="GJL16" t="s">
        <v>188</v>
      </c>
      <c r="GJM16" t="s">
        <v>188</v>
      </c>
      <c r="GJN16" t="s">
        <v>188</v>
      </c>
      <c r="GJO16" t="s">
        <v>188</v>
      </c>
      <c r="GJP16" t="s">
        <v>188</v>
      </c>
      <c r="GJQ16" t="s">
        <v>188</v>
      </c>
      <c r="GJR16" t="s">
        <v>188</v>
      </c>
      <c r="GJS16" t="s">
        <v>188</v>
      </c>
      <c r="GJT16" t="s">
        <v>188</v>
      </c>
      <c r="GJU16" t="s">
        <v>188</v>
      </c>
      <c r="GJV16" t="s">
        <v>188</v>
      </c>
      <c r="GJW16" t="s">
        <v>188</v>
      </c>
      <c r="GJX16" t="s">
        <v>188</v>
      </c>
      <c r="GJY16" t="s">
        <v>188</v>
      </c>
      <c r="GJZ16" t="s">
        <v>188</v>
      </c>
      <c r="GKA16" t="s">
        <v>188</v>
      </c>
      <c r="GKB16" t="s">
        <v>188</v>
      </c>
      <c r="GKC16" t="s">
        <v>188</v>
      </c>
      <c r="GKD16" t="s">
        <v>188</v>
      </c>
      <c r="GKE16" t="s">
        <v>188</v>
      </c>
      <c r="GKF16" t="s">
        <v>188</v>
      </c>
      <c r="GKG16" t="s">
        <v>188</v>
      </c>
      <c r="GKH16" t="s">
        <v>188</v>
      </c>
      <c r="GKI16" t="s">
        <v>188</v>
      </c>
      <c r="GKJ16" t="s">
        <v>188</v>
      </c>
      <c r="GKK16" t="s">
        <v>188</v>
      </c>
      <c r="GKL16" t="s">
        <v>188</v>
      </c>
      <c r="GKM16" t="s">
        <v>188</v>
      </c>
      <c r="GKN16" t="s">
        <v>188</v>
      </c>
      <c r="GKO16" t="s">
        <v>188</v>
      </c>
      <c r="GKP16" t="s">
        <v>188</v>
      </c>
      <c r="GKQ16" t="s">
        <v>188</v>
      </c>
      <c r="GKR16" t="s">
        <v>188</v>
      </c>
      <c r="GKS16" t="s">
        <v>188</v>
      </c>
      <c r="GKT16" t="s">
        <v>188</v>
      </c>
      <c r="GKU16" t="s">
        <v>188</v>
      </c>
      <c r="GKV16" t="s">
        <v>188</v>
      </c>
      <c r="GKW16" t="s">
        <v>188</v>
      </c>
      <c r="GKX16" t="s">
        <v>188</v>
      </c>
      <c r="GKY16" t="s">
        <v>188</v>
      </c>
      <c r="GKZ16" t="s">
        <v>188</v>
      </c>
      <c r="GLA16" t="s">
        <v>188</v>
      </c>
      <c r="GLB16" t="s">
        <v>188</v>
      </c>
      <c r="GLC16" t="s">
        <v>188</v>
      </c>
      <c r="GLD16" t="s">
        <v>188</v>
      </c>
      <c r="GLE16" t="s">
        <v>188</v>
      </c>
      <c r="GLF16" t="s">
        <v>188</v>
      </c>
      <c r="GLG16" t="s">
        <v>188</v>
      </c>
      <c r="GLH16" t="s">
        <v>188</v>
      </c>
      <c r="GLI16" t="s">
        <v>188</v>
      </c>
      <c r="GLJ16" t="s">
        <v>188</v>
      </c>
      <c r="GLK16" t="s">
        <v>188</v>
      </c>
      <c r="GLL16" t="s">
        <v>188</v>
      </c>
      <c r="GLM16" t="s">
        <v>188</v>
      </c>
      <c r="GLN16" t="s">
        <v>188</v>
      </c>
      <c r="GLO16" t="s">
        <v>188</v>
      </c>
      <c r="GLP16" t="s">
        <v>188</v>
      </c>
      <c r="GLQ16" t="s">
        <v>188</v>
      </c>
      <c r="GLR16" t="s">
        <v>188</v>
      </c>
      <c r="GLS16" t="s">
        <v>188</v>
      </c>
      <c r="GLT16" t="s">
        <v>188</v>
      </c>
      <c r="GLU16" t="s">
        <v>188</v>
      </c>
      <c r="GLV16" t="s">
        <v>188</v>
      </c>
      <c r="GLW16" t="s">
        <v>188</v>
      </c>
      <c r="GLX16" t="s">
        <v>188</v>
      </c>
      <c r="GLY16" t="s">
        <v>188</v>
      </c>
      <c r="GLZ16" t="s">
        <v>188</v>
      </c>
      <c r="GMA16" t="s">
        <v>188</v>
      </c>
      <c r="GMB16" t="s">
        <v>188</v>
      </c>
      <c r="GMC16" t="s">
        <v>188</v>
      </c>
      <c r="GMD16" t="s">
        <v>188</v>
      </c>
      <c r="GME16" t="s">
        <v>188</v>
      </c>
      <c r="GMF16" t="s">
        <v>188</v>
      </c>
      <c r="GMG16" t="s">
        <v>188</v>
      </c>
      <c r="GMH16" t="s">
        <v>188</v>
      </c>
      <c r="GMI16" t="s">
        <v>188</v>
      </c>
      <c r="GMJ16" t="s">
        <v>188</v>
      </c>
      <c r="GMK16" t="s">
        <v>188</v>
      </c>
      <c r="GML16" t="s">
        <v>188</v>
      </c>
      <c r="GMM16" t="s">
        <v>188</v>
      </c>
      <c r="GMN16" t="s">
        <v>188</v>
      </c>
      <c r="GMO16" t="s">
        <v>188</v>
      </c>
      <c r="GMP16" t="s">
        <v>188</v>
      </c>
      <c r="GMQ16" t="s">
        <v>188</v>
      </c>
      <c r="GMR16" t="s">
        <v>188</v>
      </c>
      <c r="GMS16" t="s">
        <v>188</v>
      </c>
      <c r="GMT16" t="s">
        <v>188</v>
      </c>
      <c r="GMU16" t="s">
        <v>188</v>
      </c>
      <c r="GMV16" t="s">
        <v>188</v>
      </c>
      <c r="GMW16" t="s">
        <v>188</v>
      </c>
      <c r="GMX16" t="s">
        <v>188</v>
      </c>
      <c r="GMY16" t="s">
        <v>188</v>
      </c>
      <c r="GMZ16" t="s">
        <v>188</v>
      </c>
      <c r="GNA16" t="s">
        <v>188</v>
      </c>
      <c r="GNB16" t="s">
        <v>188</v>
      </c>
      <c r="GNC16" t="s">
        <v>188</v>
      </c>
      <c r="GND16" t="s">
        <v>188</v>
      </c>
      <c r="GNE16" t="s">
        <v>188</v>
      </c>
      <c r="GNF16" t="s">
        <v>188</v>
      </c>
      <c r="GNG16" t="s">
        <v>188</v>
      </c>
      <c r="GNH16" t="s">
        <v>188</v>
      </c>
      <c r="GNI16" t="s">
        <v>188</v>
      </c>
      <c r="GNJ16" t="s">
        <v>188</v>
      </c>
      <c r="GNK16" t="s">
        <v>188</v>
      </c>
      <c r="GNL16" t="s">
        <v>188</v>
      </c>
      <c r="GNM16" t="s">
        <v>188</v>
      </c>
      <c r="GNN16" t="s">
        <v>188</v>
      </c>
      <c r="GNO16" t="s">
        <v>188</v>
      </c>
      <c r="GNP16" t="s">
        <v>188</v>
      </c>
      <c r="GNQ16" t="s">
        <v>188</v>
      </c>
      <c r="GNR16" t="s">
        <v>188</v>
      </c>
      <c r="GNS16" t="s">
        <v>188</v>
      </c>
      <c r="GNT16" t="s">
        <v>188</v>
      </c>
      <c r="GNU16" t="s">
        <v>188</v>
      </c>
      <c r="GNV16" t="s">
        <v>188</v>
      </c>
      <c r="GNW16" t="s">
        <v>188</v>
      </c>
      <c r="GNX16" t="s">
        <v>188</v>
      </c>
      <c r="GNY16" t="s">
        <v>188</v>
      </c>
      <c r="GNZ16" t="s">
        <v>188</v>
      </c>
      <c r="GOA16" t="s">
        <v>188</v>
      </c>
      <c r="GOB16" t="s">
        <v>188</v>
      </c>
      <c r="GOC16" t="s">
        <v>188</v>
      </c>
      <c r="GOD16" t="s">
        <v>188</v>
      </c>
      <c r="GOE16" t="s">
        <v>188</v>
      </c>
      <c r="GOF16" t="s">
        <v>188</v>
      </c>
      <c r="GOG16" t="s">
        <v>188</v>
      </c>
      <c r="GOH16" t="s">
        <v>188</v>
      </c>
      <c r="GOI16" t="s">
        <v>188</v>
      </c>
      <c r="GOJ16" t="s">
        <v>188</v>
      </c>
      <c r="GOK16" t="s">
        <v>188</v>
      </c>
      <c r="GOL16" t="s">
        <v>188</v>
      </c>
      <c r="GOM16" t="s">
        <v>188</v>
      </c>
      <c r="GON16" t="s">
        <v>188</v>
      </c>
      <c r="GOO16" t="s">
        <v>188</v>
      </c>
      <c r="GOP16" t="s">
        <v>188</v>
      </c>
      <c r="GOQ16" t="s">
        <v>188</v>
      </c>
      <c r="GOR16" t="s">
        <v>188</v>
      </c>
      <c r="GOS16" t="s">
        <v>188</v>
      </c>
      <c r="GOT16" t="s">
        <v>188</v>
      </c>
      <c r="GOU16" t="s">
        <v>188</v>
      </c>
      <c r="GOV16" t="s">
        <v>188</v>
      </c>
      <c r="GOW16" t="s">
        <v>188</v>
      </c>
      <c r="GOX16" t="s">
        <v>188</v>
      </c>
      <c r="GOY16" t="s">
        <v>188</v>
      </c>
      <c r="GOZ16" t="s">
        <v>188</v>
      </c>
      <c r="GPA16" t="s">
        <v>188</v>
      </c>
      <c r="GPB16" t="s">
        <v>188</v>
      </c>
      <c r="GPC16" t="s">
        <v>188</v>
      </c>
      <c r="GPD16" t="s">
        <v>188</v>
      </c>
      <c r="GPE16" t="s">
        <v>188</v>
      </c>
      <c r="GPF16" t="s">
        <v>188</v>
      </c>
      <c r="GPG16" t="s">
        <v>188</v>
      </c>
      <c r="GPH16" t="s">
        <v>188</v>
      </c>
      <c r="GPI16" t="s">
        <v>188</v>
      </c>
      <c r="GPJ16" t="s">
        <v>188</v>
      </c>
      <c r="GPK16" t="s">
        <v>188</v>
      </c>
      <c r="GPL16" t="s">
        <v>188</v>
      </c>
      <c r="GPM16" t="s">
        <v>188</v>
      </c>
      <c r="GPN16" t="s">
        <v>188</v>
      </c>
      <c r="GPO16" t="s">
        <v>188</v>
      </c>
      <c r="GPP16" t="s">
        <v>188</v>
      </c>
      <c r="GPQ16" t="s">
        <v>188</v>
      </c>
      <c r="GPR16" t="s">
        <v>188</v>
      </c>
      <c r="GPS16" t="s">
        <v>188</v>
      </c>
      <c r="GPT16" t="s">
        <v>188</v>
      </c>
      <c r="GPU16" t="s">
        <v>188</v>
      </c>
      <c r="GPV16" t="s">
        <v>188</v>
      </c>
      <c r="GPW16" t="s">
        <v>188</v>
      </c>
      <c r="GPX16" t="s">
        <v>188</v>
      </c>
      <c r="GPY16" t="s">
        <v>188</v>
      </c>
      <c r="GPZ16" t="s">
        <v>188</v>
      </c>
      <c r="GQA16" t="s">
        <v>188</v>
      </c>
      <c r="GQB16" t="s">
        <v>188</v>
      </c>
      <c r="GQC16" t="s">
        <v>188</v>
      </c>
      <c r="GQD16" t="s">
        <v>188</v>
      </c>
      <c r="GQE16" t="s">
        <v>188</v>
      </c>
      <c r="GQF16" t="s">
        <v>188</v>
      </c>
      <c r="GQG16" t="s">
        <v>188</v>
      </c>
      <c r="GQH16" t="s">
        <v>188</v>
      </c>
      <c r="GQI16" t="s">
        <v>188</v>
      </c>
      <c r="GQJ16" t="s">
        <v>188</v>
      </c>
      <c r="GQK16" t="s">
        <v>188</v>
      </c>
      <c r="GQL16" t="s">
        <v>188</v>
      </c>
      <c r="GQM16" t="s">
        <v>188</v>
      </c>
      <c r="GQN16" t="s">
        <v>188</v>
      </c>
      <c r="GQO16" t="s">
        <v>188</v>
      </c>
      <c r="GQP16" t="s">
        <v>188</v>
      </c>
      <c r="GQQ16" t="s">
        <v>188</v>
      </c>
      <c r="GQR16" t="s">
        <v>188</v>
      </c>
      <c r="GQS16" t="s">
        <v>188</v>
      </c>
      <c r="GQT16" t="s">
        <v>188</v>
      </c>
      <c r="GQU16" t="s">
        <v>188</v>
      </c>
      <c r="GQV16" t="s">
        <v>188</v>
      </c>
      <c r="GQW16" t="s">
        <v>188</v>
      </c>
      <c r="GQX16" t="s">
        <v>188</v>
      </c>
      <c r="GQY16" t="s">
        <v>188</v>
      </c>
      <c r="GQZ16" t="s">
        <v>188</v>
      </c>
      <c r="GRA16" t="s">
        <v>188</v>
      </c>
      <c r="GRB16" t="s">
        <v>188</v>
      </c>
      <c r="GRC16" t="s">
        <v>188</v>
      </c>
      <c r="GRD16" t="s">
        <v>188</v>
      </c>
      <c r="GRE16" t="s">
        <v>188</v>
      </c>
      <c r="GRF16" t="s">
        <v>188</v>
      </c>
      <c r="GRG16" t="s">
        <v>188</v>
      </c>
      <c r="GRH16" t="s">
        <v>188</v>
      </c>
      <c r="GRI16" t="s">
        <v>188</v>
      </c>
      <c r="GRJ16" t="s">
        <v>188</v>
      </c>
      <c r="GRK16" t="s">
        <v>188</v>
      </c>
      <c r="GRL16" t="s">
        <v>188</v>
      </c>
      <c r="GRM16" t="s">
        <v>188</v>
      </c>
      <c r="GRN16" t="s">
        <v>188</v>
      </c>
      <c r="GRO16" t="s">
        <v>188</v>
      </c>
      <c r="GRP16" t="s">
        <v>188</v>
      </c>
      <c r="GRQ16" t="s">
        <v>188</v>
      </c>
      <c r="GRR16" t="s">
        <v>188</v>
      </c>
      <c r="GRS16" t="s">
        <v>188</v>
      </c>
      <c r="GRT16" t="s">
        <v>188</v>
      </c>
      <c r="GRU16" t="s">
        <v>188</v>
      </c>
      <c r="GRV16" t="s">
        <v>188</v>
      </c>
      <c r="GRW16" t="s">
        <v>188</v>
      </c>
      <c r="GRX16" t="s">
        <v>188</v>
      </c>
      <c r="GRY16" t="s">
        <v>188</v>
      </c>
      <c r="GRZ16" t="s">
        <v>188</v>
      </c>
      <c r="GSA16" t="s">
        <v>188</v>
      </c>
      <c r="GSB16" t="s">
        <v>188</v>
      </c>
      <c r="GSC16" t="s">
        <v>188</v>
      </c>
      <c r="GSD16" t="s">
        <v>188</v>
      </c>
      <c r="GSE16" t="s">
        <v>188</v>
      </c>
      <c r="GSF16" t="s">
        <v>188</v>
      </c>
      <c r="GSG16" t="s">
        <v>188</v>
      </c>
      <c r="GSH16" t="s">
        <v>188</v>
      </c>
      <c r="GSI16" t="s">
        <v>188</v>
      </c>
      <c r="GSJ16" t="s">
        <v>188</v>
      </c>
      <c r="GSK16" t="s">
        <v>188</v>
      </c>
      <c r="GSL16" t="s">
        <v>188</v>
      </c>
      <c r="GSM16" t="s">
        <v>188</v>
      </c>
      <c r="GSN16" t="s">
        <v>188</v>
      </c>
      <c r="GSO16" t="s">
        <v>188</v>
      </c>
      <c r="GSP16" t="s">
        <v>188</v>
      </c>
      <c r="GSQ16" t="s">
        <v>188</v>
      </c>
      <c r="GSR16" t="s">
        <v>188</v>
      </c>
      <c r="GSS16" t="s">
        <v>188</v>
      </c>
      <c r="GST16" t="s">
        <v>188</v>
      </c>
      <c r="GSU16" t="s">
        <v>188</v>
      </c>
      <c r="GSV16" t="s">
        <v>188</v>
      </c>
      <c r="GSW16" t="s">
        <v>188</v>
      </c>
      <c r="GSX16" t="s">
        <v>188</v>
      </c>
      <c r="GSY16" t="s">
        <v>188</v>
      </c>
      <c r="GSZ16" t="s">
        <v>188</v>
      </c>
      <c r="GTA16" t="s">
        <v>188</v>
      </c>
      <c r="GTB16" t="s">
        <v>188</v>
      </c>
      <c r="GTC16" t="s">
        <v>188</v>
      </c>
      <c r="GTD16" t="s">
        <v>188</v>
      </c>
      <c r="GTE16" t="s">
        <v>188</v>
      </c>
      <c r="GTF16" t="s">
        <v>188</v>
      </c>
      <c r="GTG16" t="s">
        <v>188</v>
      </c>
      <c r="GTH16" t="s">
        <v>188</v>
      </c>
      <c r="GTI16" t="s">
        <v>188</v>
      </c>
      <c r="GTJ16" t="s">
        <v>188</v>
      </c>
      <c r="GTK16" t="s">
        <v>188</v>
      </c>
      <c r="GTL16" t="s">
        <v>188</v>
      </c>
      <c r="GTM16" t="s">
        <v>188</v>
      </c>
      <c r="GTN16" t="s">
        <v>188</v>
      </c>
      <c r="GTO16" t="s">
        <v>188</v>
      </c>
      <c r="GTP16" t="s">
        <v>188</v>
      </c>
      <c r="GTQ16" t="s">
        <v>188</v>
      </c>
      <c r="GTR16" t="s">
        <v>188</v>
      </c>
      <c r="GTS16" t="s">
        <v>188</v>
      </c>
      <c r="GTT16" t="s">
        <v>188</v>
      </c>
      <c r="GTU16" t="s">
        <v>188</v>
      </c>
      <c r="GTV16" t="s">
        <v>188</v>
      </c>
      <c r="GTW16" t="s">
        <v>188</v>
      </c>
      <c r="GTX16" t="s">
        <v>188</v>
      </c>
      <c r="GTY16" t="s">
        <v>188</v>
      </c>
      <c r="GTZ16" t="s">
        <v>188</v>
      </c>
      <c r="GUA16" t="s">
        <v>188</v>
      </c>
      <c r="GUB16" t="s">
        <v>188</v>
      </c>
      <c r="GUC16" t="s">
        <v>188</v>
      </c>
      <c r="GUD16" t="s">
        <v>188</v>
      </c>
      <c r="GUE16" t="s">
        <v>188</v>
      </c>
      <c r="GUF16" t="s">
        <v>188</v>
      </c>
      <c r="GUG16" t="s">
        <v>188</v>
      </c>
      <c r="GUH16" t="s">
        <v>188</v>
      </c>
      <c r="GUI16" t="s">
        <v>188</v>
      </c>
      <c r="GUJ16" t="s">
        <v>188</v>
      </c>
      <c r="GUK16" t="s">
        <v>188</v>
      </c>
      <c r="GUL16" t="s">
        <v>188</v>
      </c>
      <c r="GUM16" t="s">
        <v>188</v>
      </c>
      <c r="GUN16" t="s">
        <v>188</v>
      </c>
      <c r="GUO16" t="s">
        <v>188</v>
      </c>
      <c r="GUP16" t="s">
        <v>188</v>
      </c>
      <c r="GUQ16" t="s">
        <v>188</v>
      </c>
      <c r="GUR16" t="s">
        <v>188</v>
      </c>
      <c r="GUS16" t="s">
        <v>188</v>
      </c>
      <c r="GUT16" t="s">
        <v>188</v>
      </c>
      <c r="GUU16" t="s">
        <v>188</v>
      </c>
      <c r="GUV16" t="s">
        <v>188</v>
      </c>
      <c r="GUW16" t="s">
        <v>188</v>
      </c>
      <c r="GUX16" t="s">
        <v>188</v>
      </c>
      <c r="GUY16" t="s">
        <v>188</v>
      </c>
      <c r="GUZ16" t="s">
        <v>188</v>
      </c>
      <c r="GVA16" t="s">
        <v>188</v>
      </c>
      <c r="GVB16" t="s">
        <v>188</v>
      </c>
      <c r="GVC16" t="s">
        <v>188</v>
      </c>
      <c r="GVD16" t="s">
        <v>188</v>
      </c>
      <c r="GVE16" t="s">
        <v>188</v>
      </c>
      <c r="GVF16" t="s">
        <v>188</v>
      </c>
      <c r="GVG16" t="s">
        <v>188</v>
      </c>
      <c r="GVH16" t="s">
        <v>188</v>
      </c>
      <c r="GVI16" t="s">
        <v>188</v>
      </c>
      <c r="GVJ16" t="s">
        <v>188</v>
      </c>
      <c r="GVK16" t="s">
        <v>188</v>
      </c>
      <c r="GVL16" t="s">
        <v>188</v>
      </c>
      <c r="GVM16" t="s">
        <v>188</v>
      </c>
      <c r="GVN16" t="s">
        <v>188</v>
      </c>
      <c r="GVO16" t="s">
        <v>188</v>
      </c>
      <c r="GVP16" t="s">
        <v>188</v>
      </c>
      <c r="GVQ16" t="s">
        <v>188</v>
      </c>
      <c r="GVR16" t="s">
        <v>188</v>
      </c>
      <c r="GVS16" t="s">
        <v>188</v>
      </c>
      <c r="GVT16" t="s">
        <v>188</v>
      </c>
      <c r="GVU16" t="s">
        <v>188</v>
      </c>
      <c r="GVV16" t="s">
        <v>188</v>
      </c>
      <c r="GVW16" t="s">
        <v>188</v>
      </c>
      <c r="GVX16" t="s">
        <v>188</v>
      </c>
      <c r="GVY16" t="s">
        <v>188</v>
      </c>
      <c r="GVZ16" t="s">
        <v>188</v>
      </c>
      <c r="GWA16" t="s">
        <v>188</v>
      </c>
      <c r="GWB16" t="s">
        <v>188</v>
      </c>
      <c r="GWC16" t="s">
        <v>188</v>
      </c>
      <c r="GWD16" t="s">
        <v>188</v>
      </c>
      <c r="GWE16" t="s">
        <v>188</v>
      </c>
      <c r="GWF16" t="s">
        <v>188</v>
      </c>
      <c r="GWG16" t="s">
        <v>188</v>
      </c>
      <c r="GWH16" t="s">
        <v>188</v>
      </c>
      <c r="GWI16" t="s">
        <v>188</v>
      </c>
      <c r="GWJ16" t="s">
        <v>188</v>
      </c>
      <c r="GWK16" t="s">
        <v>188</v>
      </c>
      <c r="GWL16" t="s">
        <v>188</v>
      </c>
      <c r="GWM16" t="s">
        <v>188</v>
      </c>
      <c r="GWN16" t="s">
        <v>188</v>
      </c>
      <c r="GWO16" t="s">
        <v>188</v>
      </c>
      <c r="GWP16" t="s">
        <v>188</v>
      </c>
      <c r="GWQ16" t="s">
        <v>188</v>
      </c>
      <c r="GWR16" t="s">
        <v>188</v>
      </c>
      <c r="GWS16" t="s">
        <v>188</v>
      </c>
      <c r="GWT16" t="s">
        <v>188</v>
      </c>
      <c r="GWU16" t="s">
        <v>188</v>
      </c>
      <c r="GWV16" t="s">
        <v>188</v>
      </c>
      <c r="GWW16" t="s">
        <v>188</v>
      </c>
      <c r="GWX16" t="s">
        <v>188</v>
      </c>
      <c r="GWY16" t="s">
        <v>188</v>
      </c>
      <c r="GWZ16" t="s">
        <v>188</v>
      </c>
      <c r="GXA16" t="s">
        <v>188</v>
      </c>
      <c r="GXB16" t="s">
        <v>188</v>
      </c>
      <c r="GXC16" t="s">
        <v>188</v>
      </c>
      <c r="GXD16" t="s">
        <v>188</v>
      </c>
      <c r="GXE16" t="s">
        <v>188</v>
      </c>
      <c r="GXF16" t="s">
        <v>188</v>
      </c>
      <c r="GXG16" t="s">
        <v>188</v>
      </c>
      <c r="GXH16" t="s">
        <v>188</v>
      </c>
      <c r="GXI16" t="s">
        <v>188</v>
      </c>
      <c r="GXJ16" t="s">
        <v>188</v>
      </c>
      <c r="GXK16" t="s">
        <v>188</v>
      </c>
      <c r="GXL16" t="s">
        <v>188</v>
      </c>
      <c r="GXM16" t="s">
        <v>188</v>
      </c>
      <c r="GXN16" t="s">
        <v>188</v>
      </c>
      <c r="GXO16" t="s">
        <v>188</v>
      </c>
      <c r="GXP16" t="s">
        <v>188</v>
      </c>
      <c r="GXQ16" t="s">
        <v>188</v>
      </c>
      <c r="GXR16" t="s">
        <v>188</v>
      </c>
      <c r="GXS16" t="s">
        <v>188</v>
      </c>
      <c r="GXT16" t="s">
        <v>188</v>
      </c>
      <c r="GXU16" t="s">
        <v>188</v>
      </c>
      <c r="GXV16" t="s">
        <v>188</v>
      </c>
      <c r="GXW16" t="s">
        <v>188</v>
      </c>
      <c r="GXX16" t="s">
        <v>188</v>
      </c>
      <c r="GXY16" t="s">
        <v>188</v>
      </c>
      <c r="GXZ16" t="s">
        <v>188</v>
      </c>
      <c r="GYA16" t="s">
        <v>188</v>
      </c>
      <c r="GYB16" t="s">
        <v>188</v>
      </c>
      <c r="GYC16" t="s">
        <v>188</v>
      </c>
      <c r="GYD16" t="s">
        <v>188</v>
      </c>
      <c r="GYE16" t="s">
        <v>188</v>
      </c>
      <c r="GYF16" t="s">
        <v>188</v>
      </c>
      <c r="GYG16" t="s">
        <v>188</v>
      </c>
      <c r="GYH16" t="s">
        <v>188</v>
      </c>
      <c r="GYI16" t="s">
        <v>188</v>
      </c>
      <c r="GYJ16" t="s">
        <v>188</v>
      </c>
      <c r="GYK16" t="s">
        <v>188</v>
      </c>
      <c r="GYL16" t="s">
        <v>188</v>
      </c>
      <c r="GYM16" t="s">
        <v>188</v>
      </c>
      <c r="GYN16" t="s">
        <v>188</v>
      </c>
      <c r="GYO16" t="s">
        <v>188</v>
      </c>
      <c r="GYP16" t="s">
        <v>188</v>
      </c>
      <c r="GYQ16" t="s">
        <v>188</v>
      </c>
      <c r="GYR16" t="s">
        <v>188</v>
      </c>
      <c r="GYS16" t="s">
        <v>188</v>
      </c>
      <c r="GYT16" t="s">
        <v>188</v>
      </c>
      <c r="GYU16" t="s">
        <v>188</v>
      </c>
      <c r="GYV16" t="s">
        <v>188</v>
      </c>
      <c r="GYW16" t="s">
        <v>188</v>
      </c>
      <c r="GYX16" t="s">
        <v>188</v>
      </c>
      <c r="GYY16" t="s">
        <v>188</v>
      </c>
      <c r="GYZ16" t="s">
        <v>188</v>
      </c>
      <c r="GZA16" t="s">
        <v>188</v>
      </c>
      <c r="GZB16" t="s">
        <v>188</v>
      </c>
      <c r="GZC16" t="s">
        <v>188</v>
      </c>
      <c r="GZD16" t="s">
        <v>188</v>
      </c>
      <c r="GZE16" t="s">
        <v>188</v>
      </c>
      <c r="GZF16" t="s">
        <v>188</v>
      </c>
      <c r="GZG16" t="s">
        <v>188</v>
      </c>
      <c r="GZH16" t="s">
        <v>188</v>
      </c>
      <c r="GZI16" t="s">
        <v>188</v>
      </c>
      <c r="GZJ16" t="s">
        <v>188</v>
      </c>
      <c r="GZK16" t="s">
        <v>188</v>
      </c>
      <c r="GZL16" t="s">
        <v>188</v>
      </c>
      <c r="GZM16" t="s">
        <v>188</v>
      </c>
      <c r="GZN16" t="s">
        <v>188</v>
      </c>
      <c r="GZO16" t="s">
        <v>188</v>
      </c>
      <c r="GZP16" t="s">
        <v>188</v>
      </c>
      <c r="GZQ16" t="s">
        <v>188</v>
      </c>
      <c r="GZR16" t="s">
        <v>188</v>
      </c>
      <c r="GZS16" t="s">
        <v>188</v>
      </c>
      <c r="GZT16" t="s">
        <v>188</v>
      </c>
      <c r="GZU16" t="s">
        <v>188</v>
      </c>
      <c r="GZV16" t="s">
        <v>188</v>
      </c>
      <c r="GZW16" t="s">
        <v>188</v>
      </c>
      <c r="GZX16" t="s">
        <v>188</v>
      </c>
      <c r="GZY16" t="s">
        <v>188</v>
      </c>
      <c r="GZZ16" t="s">
        <v>188</v>
      </c>
      <c r="HAA16" t="s">
        <v>188</v>
      </c>
      <c r="HAB16" t="s">
        <v>188</v>
      </c>
      <c r="HAC16" t="s">
        <v>188</v>
      </c>
      <c r="HAD16" t="s">
        <v>188</v>
      </c>
      <c r="HAE16" t="s">
        <v>188</v>
      </c>
      <c r="HAF16" t="s">
        <v>188</v>
      </c>
      <c r="HAG16" t="s">
        <v>188</v>
      </c>
      <c r="HAH16" t="s">
        <v>188</v>
      </c>
      <c r="HAI16" t="s">
        <v>188</v>
      </c>
      <c r="HAJ16" t="s">
        <v>188</v>
      </c>
      <c r="HAK16" t="s">
        <v>188</v>
      </c>
      <c r="HAL16" t="s">
        <v>188</v>
      </c>
      <c r="HAM16" t="s">
        <v>188</v>
      </c>
      <c r="HAN16" t="s">
        <v>188</v>
      </c>
      <c r="HAO16" t="s">
        <v>188</v>
      </c>
      <c r="HAP16" t="s">
        <v>188</v>
      </c>
      <c r="HAQ16" t="s">
        <v>188</v>
      </c>
      <c r="HAR16" t="s">
        <v>188</v>
      </c>
      <c r="HAS16" t="s">
        <v>188</v>
      </c>
      <c r="HAT16" t="s">
        <v>188</v>
      </c>
      <c r="HAU16" t="s">
        <v>188</v>
      </c>
      <c r="HAV16" t="s">
        <v>188</v>
      </c>
      <c r="HAW16" t="s">
        <v>188</v>
      </c>
      <c r="HAX16" t="s">
        <v>188</v>
      </c>
      <c r="HAY16" t="s">
        <v>188</v>
      </c>
      <c r="HAZ16" t="s">
        <v>188</v>
      </c>
      <c r="HBA16" t="s">
        <v>188</v>
      </c>
      <c r="HBB16" t="s">
        <v>188</v>
      </c>
      <c r="HBC16" t="s">
        <v>188</v>
      </c>
      <c r="HBD16" t="s">
        <v>188</v>
      </c>
      <c r="HBE16" t="s">
        <v>188</v>
      </c>
      <c r="HBF16" t="s">
        <v>188</v>
      </c>
      <c r="HBG16" t="s">
        <v>188</v>
      </c>
      <c r="HBH16" t="s">
        <v>188</v>
      </c>
      <c r="HBI16" t="s">
        <v>188</v>
      </c>
      <c r="HBJ16" t="s">
        <v>188</v>
      </c>
      <c r="HBK16" t="s">
        <v>188</v>
      </c>
      <c r="HBL16" t="s">
        <v>188</v>
      </c>
      <c r="HBM16" t="s">
        <v>188</v>
      </c>
      <c r="HBN16" t="s">
        <v>188</v>
      </c>
      <c r="HBO16" t="s">
        <v>188</v>
      </c>
      <c r="HBP16" t="s">
        <v>188</v>
      </c>
      <c r="HBQ16" t="s">
        <v>188</v>
      </c>
      <c r="HBR16" t="s">
        <v>188</v>
      </c>
      <c r="HBS16" t="s">
        <v>188</v>
      </c>
      <c r="HBT16" t="s">
        <v>188</v>
      </c>
      <c r="HBU16" t="s">
        <v>188</v>
      </c>
      <c r="HBV16" t="s">
        <v>188</v>
      </c>
      <c r="HBW16" t="s">
        <v>188</v>
      </c>
      <c r="HBX16" t="s">
        <v>188</v>
      </c>
      <c r="HBY16" t="s">
        <v>188</v>
      </c>
      <c r="HBZ16" t="s">
        <v>188</v>
      </c>
      <c r="HCA16" t="s">
        <v>188</v>
      </c>
      <c r="HCB16" t="s">
        <v>188</v>
      </c>
      <c r="HCC16" t="s">
        <v>188</v>
      </c>
      <c r="HCD16" t="s">
        <v>188</v>
      </c>
      <c r="HCE16" t="s">
        <v>188</v>
      </c>
      <c r="HCF16" t="s">
        <v>188</v>
      </c>
      <c r="HCG16" t="s">
        <v>188</v>
      </c>
      <c r="HCH16" t="s">
        <v>188</v>
      </c>
      <c r="HCI16" t="s">
        <v>188</v>
      </c>
      <c r="HCJ16" t="s">
        <v>188</v>
      </c>
      <c r="HCK16" t="s">
        <v>188</v>
      </c>
      <c r="HCL16" t="s">
        <v>188</v>
      </c>
      <c r="HCM16" t="s">
        <v>188</v>
      </c>
      <c r="HCN16" t="s">
        <v>188</v>
      </c>
      <c r="HCO16" t="s">
        <v>188</v>
      </c>
      <c r="HCP16" t="s">
        <v>188</v>
      </c>
      <c r="HCQ16" t="s">
        <v>188</v>
      </c>
      <c r="HCR16" t="s">
        <v>188</v>
      </c>
      <c r="HCS16" t="s">
        <v>188</v>
      </c>
      <c r="HCT16" t="s">
        <v>188</v>
      </c>
      <c r="HCU16" t="s">
        <v>188</v>
      </c>
      <c r="HCV16" t="s">
        <v>188</v>
      </c>
      <c r="HCW16" t="s">
        <v>188</v>
      </c>
      <c r="HCX16" t="s">
        <v>188</v>
      </c>
      <c r="HCY16" t="s">
        <v>188</v>
      </c>
      <c r="HCZ16" t="s">
        <v>188</v>
      </c>
      <c r="HDA16" t="s">
        <v>188</v>
      </c>
      <c r="HDB16" t="s">
        <v>188</v>
      </c>
      <c r="HDC16" t="s">
        <v>188</v>
      </c>
      <c r="HDD16" t="s">
        <v>188</v>
      </c>
      <c r="HDE16" t="s">
        <v>188</v>
      </c>
      <c r="HDF16" t="s">
        <v>188</v>
      </c>
      <c r="HDG16" t="s">
        <v>188</v>
      </c>
      <c r="HDH16" t="s">
        <v>188</v>
      </c>
      <c r="HDI16" t="s">
        <v>188</v>
      </c>
      <c r="HDJ16" t="s">
        <v>188</v>
      </c>
      <c r="HDK16" t="s">
        <v>188</v>
      </c>
      <c r="HDL16" t="s">
        <v>188</v>
      </c>
      <c r="HDM16" t="s">
        <v>188</v>
      </c>
      <c r="HDN16" t="s">
        <v>188</v>
      </c>
      <c r="HDO16" t="s">
        <v>188</v>
      </c>
      <c r="HDP16" t="s">
        <v>188</v>
      </c>
      <c r="HDQ16" t="s">
        <v>188</v>
      </c>
      <c r="HDR16" t="s">
        <v>188</v>
      </c>
      <c r="HDS16" t="s">
        <v>188</v>
      </c>
      <c r="HDT16" t="s">
        <v>188</v>
      </c>
      <c r="HDU16" t="s">
        <v>188</v>
      </c>
      <c r="HDV16" t="s">
        <v>188</v>
      </c>
      <c r="HDW16" t="s">
        <v>188</v>
      </c>
      <c r="HDX16" t="s">
        <v>188</v>
      </c>
      <c r="HDY16" t="s">
        <v>188</v>
      </c>
      <c r="HDZ16" t="s">
        <v>188</v>
      </c>
      <c r="HEA16" t="s">
        <v>188</v>
      </c>
      <c r="HEB16" t="s">
        <v>188</v>
      </c>
      <c r="HEC16" t="s">
        <v>188</v>
      </c>
      <c r="HED16" t="s">
        <v>188</v>
      </c>
      <c r="HEE16" t="s">
        <v>188</v>
      </c>
      <c r="HEF16" t="s">
        <v>188</v>
      </c>
      <c r="HEG16" t="s">
        <v>188</v>
      </c>
      <c r="HEH16" t="s">
        <v>188</v>
      </c>
      <c r="HEI16" t="s">
        <v>188</v>
      </c>
      <c r="HEJ16" t="s">
        <v>188</v>
      </c>
      <c r="HEK16" t="s">
        <v>188</v>
      </c>
      <c r="HEL16" t="s">
        <v>188</v>
      </c>
      <c r="HEM16" t="s">
        <v>188</v>
      </c>
      <c r="HEN16" t="s">
        <v>188</v>
      </c>
      <c r="HEO16" t="s">
        <v>188</v>
      </c>
      <c r="HEP16" t="s">
        <v>188</v>
      </c>
      <c r="HEQ16" t="s">
        <v>188</v>
      </c>
      <c r="HER16" t="s">
        <v>188</v>
      </c>
      <c r="HES16" t="s">
        <v>188</v>
      </c>
      <c r="HET16" t="s">
        <v>188</v>
      </c>
      <c r="HEU16" t="s">
        <v>188</v>
      </c>
      <c r="HEV16" t="s">
        <v>188</v>
      </c>
      <c r="HEW16" t="s">
        <v>188</v>
      </c>
      <c r="HEX16" t="s">
        <v>188</v>
      </c>
      <c r="HEY16" t="s">
        <v>188</v>
      </c>
      <c r="HEZ16" t="s">
        <v>188</v>
      </c>
      <c r="HFA16" t="s">
        <v>188</v>
      </c>
      <c r="HFB16" t="s">
        <v>188</v>
      </c>
      <c r="HFC16" t="s">
        <v>188</v>
      </c>
      <c r="HFD16" t="s">
        <v>188</v>
      </c>
      <c r="HFE16" t="s">
        <v>188</v>
      </c>
      <c r="HFF16" t="s">
        <v>188</v>
      </c>
      <c r="HFG16" t="s">
        <v>188</v>
      </c>
      <c r="HFH16" t="s">
        <v>188</v>
      </c>
      <c r="HFI16" t="s">
        <v>188</v>
      </c>
      <c r="HFJ16" t="s">
        <v>188</v>
      </c>
      <c r="HFK16" t="s">
        <v>188</v>
      </c>
      <c r="HFL16" t="s">
        <v>188</v>
      </c>
      <c r="HFM16" t="s">
        <v>188</v>
      </c>
      <c r="HFN16" t="s">
        <v>188</v>
      </c>
      <c r="HFO16" t="s">
        <v>188</v>
      </c>
      <c r="HFP16" t="s">
        <v>188</v>
      </c>
      <c r="HFQ16" t="s">
        <v>188</v>
      </c>
      <c r="HFR16" t="s">
        <v>188</v>
      </c>
      <c r="HFS16" t="s">
        <v>188</v>
      </c>
      <c r="HFT16" t="s">
        <v>188</v>
      </c>
      <c r="HFU16" t="s">
        <v>188</v>
      </c>
      <c r="HFV16" t="s">
        <v>188</v>
      </c>
      <c r="HFW16" t="s">
        <v>188</v>
      </c>
      <c r="HFX16" t="s">
        <v>188</v>
      </c>
      <c r="HFY16" t="s">
        <v>188</v>
      </c>
      <c r="HFZ16" t="s">
        <v>188</v>
      </c>
      <c r="HGA16" t="s">
        <v>188</v>
      </c>
      <c r="HGB16" t="s">
        <v>188</v>
      </c>
      <c r="HGC16" t="s">
        <v>188</v>
      </c>
      <c r="HGD16" t="s">
        <v>188</v>
      </c>
      <c r="HGE16" t="s">
        <v>188</v>
      </c>
      <c r="HGF16" t="s">
        <v>188</v>
      </c>
      <c r="HGG16" t="s">
        <v>188</v>
      </c>
      <c r="HGH16" t="s">
        <v>188</v>
      </c>
      <c r="HGI16" t="s">
        <v>188</v>
      </c>
      <c r="HGJ16" t="s">
        <v>188</v>
      </c>
      <c r="HGK16" t="s">
        <v>188</v>
      </c>
      <c r="HGL16" t="s">
        <v>188</v>
      </c>
      <c r="HGM16" t="s">
        <v>188</v>
      </c>
      <c r="HGN16" t="s">
        <v>188</v>
      </c>
      <c r="HGO16" t="s">
        <v>188</v>
      </c>
      <c r="HGP16" t="s">
        <v>188</v>
      </c>
      <c r="HGQ16" t="s">
        <v>188</v>
      </c>
      <c r="HGR16" t="s">
        <v>188</v>
      </c>
      <c r="HGS16" t="s">
        <v>188</v>
      </c>
      <c r="HGT16" t="s">
        <v>188</v>
      </c>
      <c r="HGU16" t="s">
        <v>188</v>
      </c>
      <c r="HGV16" t="s">
        <v>188</v>
      </c>
      <c r="HGW16" t="s">
        <v>188</v>
      </c>
      <c r="HGX16" t="s">
        <v>188</v>
      </c>
      <c r="HGY16" t="s">
        <v>188</v>
      </c>
      <c r="HGZ16" t="s">
        <v>188</v>
      </c>
      <c r="HHA16" t="s">
        <v>188</v>
      </c>
      <c r="HHB16" t="s">
        <v>188</v>
      </c>
      <c r="HHC16" t="s">
        <v>188</v>
      </c>
      <c r="HHD16" t="s">
        <v>188</v>
      </c>
      <c r="HHE16" t="s">
        <v>188</v>
      </c>
      <c r="HHF16" t="s">
        <v>188</v>
      </c>
      <c r="HHG16" t="s">
        <v>188</v>
      </c>
      <c r="HHH16" t="s">
        <v>188</v>
      </c>
      <c r="HHI16" t="s">
        <v>188</v>
      </c>
      <c r="HHJ16" t="s">
        <v>188</v>
      </c>
      <c r="HHK16" t="s">
        <v>188</v>
      </c>
      <c r="HHL16" t="s">
        <v>188</v>
      </c>
      <c r="HHM16" t="s">
        <v>188</v>
      </c>
      <c r="HHN16" t="s">
        <v>188</v>
      </c>
      <c r="HHO16" t="s">
        <v>188</v>
      </c>
      <c r="HHP16" t="s">
        <v>188</v>
      </c>
      <c r="HHQ16" t="s">
        <v>188</v>
      </c>
      <c r="HHR16" t="s">
        <v>188</v>
      </c>
      <c r="HHS16" t="s">
        <v>188</v>
      </c>
      <c r="HHT16" t="s">
        <v>188</v>
      </c>
      <c r="HHU16" t="s">
        <v>188</v>
      </c>
      <c r="HHV16" t="s">
        <v>188</v>
      </c>
      <c r="HHW16" t="s">
        <v>188</v>
      </c>
      <c r="HHX16" t="s">
        <v>188</v>
      </c>
      <c r="HHY16" t="s">
        <v>188</v>
      </c>
      <c r="HHZ16" t="s">
        <v>188</v>
      </c>
      <c r="HIA16" t="s">
        <v>188</v>
      </c>
      <c r="HIB16" t="s">
        <v>188</v>
      </c>
      <c r="HIC16" t="s">
        <v>188</v>
      </c>
      <c r="HID16" t="s">
        <v>188</v>
      </c>
      <c r="HIE16" t="s">
        <v>188</v>
      </c>
      <c r="HIF16" t="s">
        <v>188</v>
      </c>
      <c r="HIG16" t="s">
        <v>188</v>
      </c>
      <c r="HIH16" t="s">
        <v>188</v>
      </c>
      <c r="HII16" t="s">
        <v>188</v>
      </c>
      <c r="HIJ16" t="s">
        <v>188</v>
      </c>
      <c r="HIK16" t="s">
        <v>188</v>
      </c>
      <c r="HIL16" t="s">
        <v>188</v>
      </c>
      <c r="HIM16" t="s">
        <v>188</v>
      </c>
      <c r="HIN16" t="s">
        <v>188</v>
      </c>
      <c r="HIO16" t="s">
        <v>188</v>
      </c>
      <c r="HIP16" t="s">
        <v>188</v>
      </c>
      <c r="HIQ16" t="s">
        <v>188</v>
      </c>
      <c r="HIR16" t="s">
        <v>188</v>
      </c>
      <c r="HIS16" t="s">
        <v>188</v>
      </c>
      <c r="HIT16" t="s">
        <v>188</v>
      </c>
      <c r="HIU16" t="s">
        <v>188</v>
      </c>
      <c r="HIV16" t="s">
        <v>188</v>
      </c>
      <c r="HIW16" t="s">
        <v>188</v>
      </c>
      <c r="HIX16" t="s">
        <v>188</v>
      </c>
      <c r="HIY16" t="s">
        <v>188</v>
      </c>
      <c r="HIZ16" t="s">
        <v>188</v>
      </c>
      <c r="HJA16" t="s">
        <v>188</v>
      </c>
      <c r="HJB16" t="s">
        <v>188</v>
      </c>
      <c r="HJC16" t="s">
        <v>188</v>
      </c>
      <c r="HJD16" t="s">
        <v>188</v>
      </c>
      <c r="HJE16" t="s">
        <v>188</v>
      </c>
      <c r="HJF16" t="s">
        <v>188</v>
      </c>
      <c r="HJG16" t="s">
        <v>188</v>
      </c>
      <c r="HJH16" t="s">
        <v>188</v>
      </c>
      <c r="HJI16" t="s">
        <v>188</v>
      </c>
      <c r="HJJ16" t="s">
        <v>188</v>
      </c>
      <c r="HJK16" t="s">
        <v>188</v>
      </c>
      <c r="HJL16" t="s">
        <v>188</v>
      </c>
      <c r="HJM16" t="s">
        <v>188</v>
      </c>
      <c r="HJN16" t="s">
        <v>188</v>
      </c>
      <c r="HJO16" t="s">
        <v>188</v>
      </c>
      <c r="HJP16" t="s">
        <v>188</v>
      </c>
      <c r="HJQ16" t="s">
        <v>188</v>
      </c>
      <c r="HJR16" t="s">
        <v>188</v>
      </c>
      <c r="HJS16" t="s">
        <v>188</v>
      </c>
      <c r="HJT16" t="s">
        <v>188</v>
      </c>
      <c r="HJU16" t="s">
        <v>188</v>
      </c>
      <c r="HJV16" t="s">
        <v>188</v>
      </c>
      <c r="HJW16" t="s">
        <v>188</v>
      </c>
      <c r="HJX16" t="s">
        <v>188</v>
      </c>
      <c r="HJY16" t="s">
        <v>188</v>
      </c>
      <c r="HJZ16" t="s">
        <v>188</v>
      </c>
      <c r="HKA16" t="s">
        <v>188</v>
      </c>
      <c r="HKB16" t="s">
        <v>188</v>
      </c>
      <c r="HKC16" t="s">
        <v>188</v>
      </c>
      <c r="HKD16" t="s">
        <v>188</v>
      </c>
      <c r="HKE16" t="s">
        <v>188</v>
      </c>
      <c r="HKF16" t="s">
        <v>188</v>
      </c>
      <c r="HKG16" t="s">
        <v>188</v>
      </c>
      <c r="HKH16" t="s">
        <v>188</v>
      </c>
      <c r="HKI16" t="s">
        <v>188</v>
      </c>
      <c r="HKJ16" t="s">
        <v>188</v>
      </c>
      <c r="HKK16" t="s">
        <v>188</v>
      </c>
      <c r="HKL16" t="s">
        <v>188</v>
      </c>
      <c r="HKM16" t="s">
        <v>188</v>
      </c>
      <c r="HKN16" t="s">
        <v>188</v>
      </c>
      <c r="HKO16" t="s">
        <v>188</v>
      </c>
      <c r="HKP16" t="s">
        <v>188</v>
      </c>
      <c r="HKQ16" t="s">
        <v>188</v>
      </c>
      <c r="HKR16" t="s">
        <v>188</v>
      </c>
      <c r="HKS16" t="s">
        <v>188</v>
      </c>
      <c r="HKT16" t="s">
        <v>188</v>
      </c>
      <c r="HKU16" t="s">
        <v>188</v>
      </c>
      <c r="HKV16" t="s">
        <v>188</v>
      </c>
      <c r="HKW16" t="s">
        <v>188</v>
      </c>
      <c r="HKX16" t="s">
        <v>188</v>
      </c>
      <c r="HKY16" t="s">
        <v>188</v>
      </c>
      <c r="HKZ16" t="s">
        <v>188</v>
      </c>
      <c r="HLA16" t="s">
        <v>188</v>
      </c>
      <c r="HLB16" t="s">
        <v>188</v>
      </c>
      <c r="HLC16" t="s">
        <v>188</v>
      </c>
      <c r="HLD16" t="s">
        <v>188</v>
      </c>
      <c r="HLE16" t="s">
        <v>188</v>
      </c>
      <c r="HLF16" t="s">
        <v>188</v>
      </c>
      <c r="HLG16" t="s">
        <v>188</v>
      </c>
      <c r="HLH16" t="s">
        <v>188</v>
      </c>
      <c r="HLI16" t="s">
        <v>188</v>
      </c>
      <c r="HLJ16" t="s">
        <v>188</v>
      </c>
      <c r="HLK16" t="s">
        <v>188</v>
      </c>
      <c r="HLL16" t="s">
        <v>188</v>
      </c>
      <c r="HLM16" t="s">
        <v>188</v>
      </c>
      <c r="HLN16" t="s">
        <v>188</v>
      </c>
      <c r="HLO16" t="s">
        <v>188</v>
      </c>
      <c r="HLP16" t="s">
        <v>188</v>
      </c>
      <c r="HLQ16" t="s">
        <v>188</v>
      </c>
      <c r="HLR16" t="s">
        <v>188</v>
      </c>
      <c r="HLS16" t="s">
        <v>188</v>
      </c>
      <c r="HLT16" t="s">
        <v>188</v>
      </c>
      <c r="HLU16" t="s">
        <v>188</v>
      </c>
      <c r="HLV16" t="s">
        <v>188</v>
      </c>
      <c r="HLW16" t="s">
        <v>188</v>
      </c>
      <c r="HLX16" t="s">
        <v>188</v>
      </c>
      <c r="HLY16" t="s">
        <v>188</v>
      </c>
      <c r="HLZ16" t="s">
        <v>188</v>
      </c>
      <c r="HMA16" t="s">
        <v>188</v>
      </c>
      <c r="HMB16" t="s">
        <v>188</v>
      </c>
      <c r="HMC16" t="s">
        <v>188</v>
      </c>
      <c r="HMD16" t="s">
        <v>188</v>
      </c>
      <c r="HME16" t="s">
        <v>188</v>
      </c>
      <c r="HMF16" t="s">
        <v>188</v>
      </c>
      <c r="HMG16" t="s">
        <v>188</v>
      </c>
      <c r="HMH16" t="s">
        <v>188</v>
      </c>
      <c r="HMI16" t="s">
        <v>188</v>
      </c>
      <c r="HMJ16" t="s">
        <v>188</v>
      </c>
      <c r="HMK16" t="s">
        <v>188</v>
      </c>
      <c r="HML16" t="s">
        <v>188</v>
      </c>
      <c r="HMM16" t="s">
        <v>188</v>
      </c>
      <c r="HMN16" t="s">
        <v>188</v>
      </c>
      <c r="HMO16" t="s">
        <v>188</v>
      </c>
      <c r="HMP16" t="s">
        <v>188</v>
      </c>
      <c r="HMQ16" t="s">
        <v>188</v>
      </c>
      <c r="HMR16" t="s">
        <v>188</v>
      </c>
      <c r="HMS16" t="s">
        <v>188</v>
      </c>
      <c r="HMT16" t="s">
        <v>188</v>
      </c>
      <c r="HMU16" t="s">
        <v>188</v>
      </c>
      <c r="HMV16" t="s">
        <v>188</v>
      </c>
      <c r="HMW16" t="s">
        <v>188</v>
      </c>
      <c r="HMX16" t="s">
        <v>188</v>
      </c>
      <c r="HMY16" t="s">
        <v>188</v>
      </c>
      <c r="HMZ16" t="s">
        <v>188</v>
      </c>
      <c r="HNA16" t="s">
        <v>188</v>
      </c>
      <c r="HNB16" t="s">
        <v>188</v>
      </c>
      <c r="HNC16" t="s">
        <v>188</v>
      </c>
      <c r="HND16" t="s">
        <v>188</v>
      </c>
      <c r="HNE16" t="s">
        <v>188</v>
      </c>
      <c r="HNF16" t="s">
        <v>188</v>
      </c>
      <c r="HNG16" t="s">
        <v>188</v>
      </c>
      <c r="HNH16" t="s">
        <v>188</v>
      </c>
      <c r="HNI16" t="s">
        <v>188</v>
      </c>
      <c r="HNJ16" t="s">
        <v>188</v>
      </c>
      <c r="HNK16" t="s">
        <v>188</v>
      </c>
      <c r="HNL16" t="s">
        <v>188</v>
      </c>
      <c r="HNM16" t="s">
        <v>188</v>
      </c>
      <c r="HNN16" t="s">
        <v>188</v>
      </c>
      <c r="HNO16" t="s">
        <v>188</v>
      </c>
      <c r="HNP16" t="s">
        <v>188</v>
      </c>
      <c r="HNQ16" t="s">
        <v>188</v>
      </c>
      <c r="HNR16" t="s">
        <v>188</v>
      </c>
      <c r="HNS16" t="s">
        <v>188</v>
      </c>
      <c r="HNT16" t="s">
        <v>188</v>
      </c>
      <c r="HNU16" t="s">
        <v>188</v>
      </c>
      <c r="HNV16" t="s">
        <v>188</v>
      </c>
      <c r="HNW16" t="s">
        <v>188</v>
      </c>
      <c r="HNX16" t="s">
        <v>188</v>
      </c>
      <c r="HNY16" t="s">
        <v>188</v>
      </c>
      <c r="HNZ16" t="s">
        <v>188</v>
      </c>
      <c r="HOA16" t="s">
        <v>188</v>
      </c>
      <c r="HOB16" t="s">
        <v>188</v>
      </c>
      <c r="HOC16" t="s">
        <v>188</v>
      </c>
      <c r="HOD16" t="s">
        <v>188</v>
      </c>
      <c r="HOE16" t="s">
        <v>188</v>
      </c>
      <c r="HOF16" t="s">
        <v>188</v>
      </c>
      <c r="HOG16" t="s">
        <v>188</v>
      </c>
      <c r="HOH16" t="s">
        <v>188</v>
      </c>
      <c r="HOI16" t="s">
        <v>188</v>
      </c>
      <c r="HOJ16" t="s">
        <v>188</v>
      </c>
      <c r="HOK16" t="s">
        <v>188</v>
      </c>
      <c r="HOL16" t="s">
        <v>188</v>
      </c>
      <c r="HOM16" t="s">
        <v>188</v>
      </c>
      <c r="HON16" t="s">
        <v>188</v>
      </c>
      <c r="HOO16" t="s">
        <v>188</v>
      </c>
      <c r="HOP16" t="s">
        <v>188</v>
      </c>
      <c r="HOQ16" t="s">
        <v>188</v>
      </c>
      <c r="HOR16" t="s">
        <v>188</v>
      </c>
      <c r="HOS16" t="s">
        <v>188</v>
      </c>
      <c r="HOT16" t="s">
        <v>188</v>
      </c>
      <c r="HOU16" t="s">
        <v>188</v>
      </c>
      <c r="HOV16" t="s">
        <v>188</v>
      </c>
      <c r="HOW16" t="s">
        <v>188</v>
      </c>
      <c r="HOX16" t="s">
        <v>188</v>
      </c>
      <c r="HOY16" t="s">
        <v>188</v>
      </c>
      <c r="HOZ16" t="s">
        <v>188</v>
      </c>
      <c r="HPA16" t="s">
        <v>188</v>
      </c>
      <c r="HPB16" t="s">
        <v>188</v>
      </c>
      <c r="HPC16" t="s">
        <v>188</v>
      </c>
      <c r="HPD16" t="s">
        <v>188</v>
      </c>
      <c r="HPE16" t="s">
        <v>188</v>
      </c>
      <c r="HPF16" t="s">
        <v>188</v>
      </c>
      <c r="HPG16" t="s">
        <v>188</v>
      </c>
      <c r="HPH16" t="s">
        <v>188</v>
      </c>
      <c r="HPI16" t="s">
        <v>188</v>
      </c>
      <c r="HPJ16" t="s">
        <v>188</v>
      </c>
      <c r="HPK16" t="s">
        <v>188</v>
      </c>
      <c r="HPL16" t="s">
        <v>188</v>
      </c>
      <c r="HPM16" t="s">
        <v>188</v>
      </c>
      <c r="HPN16" t="s">
        <v>188</v>
      </c>
      <c r="HPO16" t="s">
        <v>188</v>
      </c>
      <c r="HPP16" t="s">
        <v>188</v>
      </c>
      <c r="HPQ16" t="s">
        <v>188</v>
      </c>
      <c r="HPR16" t="s">
        <v>188</v>
      </c>
      <c r="HPS16" t="s">
        <v>188</v>
      </c>
      <c r="HPT16" t="s">
        <v>188</v>
      </c>
      <c r="HPU16" t="s">
        <v>188</v>
      </c>
      <c r="HPV16" t="s">
        <v>188</v>
      </c>
      <c r="HPW16" t="s">
        <v>188</v>
      </c>
      <c r="HPX16" t="s">
        <v>188</v>
      </c>
      <c r="HPY16" t="s">
        <v>188</v>
      </c>
      <c r="HPZ16" t="s">
        <v>188</v>
      </c>
      <c r="HQA16" t="s">
        <v>188</v>
      </c>
      <c r="HQB16" t="s">
        <v>188</v>
      </c>
      <c r="HQC16" t="s">
        <v>188</v>
      </c>
      <c r="HQD16" t="s">
        <v>188</v>
      </c>
      <c r="HQE16" t="s">
        <v>188</v>
      </c>
      <c r="HQF16" t="s">
        <v>188</v>
      </c>
      <c r="HQG16" t="s">
        <v>188</v>
      </c>
      <c r="HQH16" t="s">
        <v>188</v>
      </c>
      <c r="HQI16" t="s">
        <v>188</v>
      </c>
      <c r="HQJ16" t="s">
        <v>188</v>
      </c>
      <c r="HQK16" t="s">
        <v>188</v>
      </c>
      <c r="HQL16" t="s">
        <v>188</v>
      </c>
      <c r="HQM16" t="s">
        <v>188</v>
      </c>
      <c r="HQN16" t="s">
        <v>188</v>
      </c>
      <c r="HQO16" t="s">
        <v>188</v>
      </c>
      <c r="HQP16" t="s">
        <v>188</v>
      </c>
      <c r="HQQ16" t="s">
        <v>188</v>
      </c>
      <c r="HQR16" t="s">
        <v>188</v>
      </c>
      <c r="HQS16" t="s">
        <v>188</v>
      </c>
      <c r="HQT16" t="s">
        <v>188</v>
      </c>
      <c r="HQU16" t="s">
        <v>188</v>
      </c>
      <c r="HQV16" t="s">
        <v>188</v>
      </c>
      <c r="HQW16" t="s">
        <v>188</v>
      </c>
      <c r="HQX16" t="s">
        <v>188</v>
      </c>
      <c r="HQY16" t="s">
        <v>188</v>
      </c>
      <c r="HQZ16" t="s">
        <v>188</v>
      </c>
      <c r="HRA16" t="s">
        <v>188</v>
      </c>
      <c r="HRB16" t="s">
        <v>188</v>
      </c>
      <c r="HRC16" t="s">
        <v>188</v>
      </c>
      <c r="HRD16" t="s">
        <v>188</v>
      </c>
      <c r="HRE16" t="s">
        <v>188</v>
      </c>
      <c r="HRF16" t="s">
        <v>188</v>
      </c>
      <c r="HRG16" t="s">
        <v>188</v>
      </c>
      <c r="HRH16" t="s">
        <v>188</v>
      </c>
      <c r="HRI16" t="s">
        <v>188</v>
      </c>
      <c r="HRJ16" t="s">
        <v>188</v>
      </c>
      <c r="HRK16" t="s">
        <v>188</v>
      </c>
      <c r="HRL16" t="s">
        <v>188</v>
      </c>
      <c r="HRM16" t="s">
        <v>188</v>
      </c>
      <c r="HRN16" t="s">
        <v>188</v>
      </c>
      <c r="HRO16" t="s">
        <v>188</v>
      </c>
      <c r="HRP16" t="s">
        <v>188</v>
      </c>
      <c r="HRQ16" t="s">
        <v>188</v>
      </c>
      <c r="HRR16" t="s">
        <v>188</v>
      </c>
      <c r="HRS16" t="s">
        <v>188</v>
      </c>
      <c r="HRT16" t="s">
        <v>188</v>
      </c>
      <c r="HRU16" t="s">
        <v>188</v>
      </c>
      <c r="HRV16" t="s">
        <v>188</v>
      </c>
      <c r="HRW16" t="s">
        <v>188</v>
      </c>
      <c r="HRX16" t="s">
        <v>188</v>
      </c>
      <c r="HRY16" t="s">
        <v>188</v>
      </c>
      <c r="HRZ16" t="s">
        <v>188</v>
      </c>
      <c r="HSA16" t="s">
        <v>188</v>
      </c>
      <c r="HSB16" t="s">
        <v>188</v>
      </c>
      <c r="HSC16" t="s">
        <v>188</v>
      </c>
      <c r="HSD16" t="s">
        <v>188</v>
      </c>
      <c r="HSE16" t="s">
        <v>188</v>
      </c>
      <c r="HSF16" t="s">
        <v>188</v>
      </c>
      <c r="HSG16" t="s">
        <v>188</v>
      </c>
      <c r="HSH16" t="s">
        <v>188</v>
      </c>
      <c r="HSI16" t="s">
        <v>188</v>
      </c>
      <c r="HSJ16" t="s">
        <v>188</v>
      </c>
      <c r="HSK16" t="s">
        <v>188</v>
      </c>
      <c r="HSL16" t="s">
        <v>188</v>
      </c>
      <c r="HSM16" t="s">
        <v>188</v>
      </c>
      <c r="HSN16" t="s">
        <v>188</v>
      </c>
      <c r="HSO16" t="s">
        <v>188</v>
      </c>
      <c r="HSP16" t="s">
        <v>188</v>
      </c>
      <c r="HSQ16" t="s">
        <v>188</v>
      </c>
      <c r="HSR16" t="s">
        <v>188</v>
      </c>
      <c r="HSS16" t="s">
        <v>188</v>
      </c>
      <c r="HST16" t="s">
        <v>188</v>
      </c>
      <c r="HSU16" t="s">
        <v>188</v>
      </c>
      <c r="HSV16" t="s">
        <v>188</v>
      </c>
      <c r="HSW16" t="s">
        <v>188</v>
      </c>
      <c r="HSX16" t="s">
        <v>188</v>
      </c>
      <c r="HSY16" t="s">
        <v>188</v>
      </c>
      <c r="HSZ16" t="s">
        <v>188</v>
      </c>
      <c r="HTA16" t="s">
        <v>188</v>
      </c>
      <c r="HTB16" t="s">
        <v>188</v>
      </c>
      <c r="HTC16" t="s">
        <v>188</v>
      </c>
      <c r="HTD16" t="s">
        <v>188</v>
      </c>
      <c r="HTE16" t="s">
        <v>188</v>
      </c>
      <c r="HTF16" t="s">
        <v>188</v>
      </c>
      <c r="HTG16" t="s">
        <v>188</v>
      </c>
      <c r="HTH16" t="s">
        <v>188</v>
      </c>
      <c r="HTI16" t="s">
        <v>188</v>
      </c>
      <c r="HTJ16" t="s">
        <v>188</v>
      </c>
      <c r="HTK16" t="s">
        <v>188</v>
      </c>
      <c r="HTL16" t="s">
        <v>188</v>
      </c>
      <c r="HTM16" t="s">
        <v>188</v>
      </c>
      <c r="HTN16" t="s">
        <v>188</v>
      </c>
      <c r="HTO16" t="s">
        <v>188</v>
      </c>
      <c r="HTP16" t="s">
        <v>188</v>
      </c>
      <c r="HTQ16" t="s">
        <v>188</v>
      </c>
      <c r="HTR16" t="s">
        <v>188</v>
      </c>
      <c r="HTS16" t="s">
        <v>188</v>
      </c>
      <c r="HTT16" t="s">
        <v>188</v>
      </c>
      <c r="HTU16" t="s">
        <v>188</v>
      </c>
      <c r="HTV16" t="s">
        <v>188</v>
      </c>
      <c r="HTW16" t="s">
        <v>188</v>
      </c>
      <c r="HTX16" t="s">
        <v>188</v>
      </c>
      <c r="HTY16" t="s">
        <v>188</v>
      </c>
      <c r="HTZ16" t="s">
        <v>188</v>
      </c>
      <c r="HUA16" t="s">
        <v>188</v>
      </c>
      <c r="HUB16" t="s">
        <v>188</v>
      </c>
      <c r="HUC16" t="s">
        <v>188</v>
      </c>
      <c r="HUD16" t="s">
        <v>188</v>
      </c>
      <c r="HUE16" t="s">
        <v>188</v>
      </c>
      <c r="HUF16" t="s">
        <v>188</v>
      </c>
      <c r="HUG16" t="s">
        <v>188</v>
      </c>
      <c r="HUH16" t="s">
        <v>188</v>
      </c>
      <c r="HUI16" t="s">
        <v>188</v>
      </c>
      <c r="HUJ16" t="s">
        <v>188</v>
      </c>
      <c r="HUK16" t="s">
        <v>188</v>
      </c>
      <c r="HUL16" t="s">
        <v>188</v>
      </c>
      <c r="HUM16" t="s">
        <v>188</v>
      </c>
      <c r="HUN16" t="s">
        <v>188</v>
      </c>
      <c r="HUO16" t="s">
        <v>188</v>
      </c>
      <c r="HUP16" t="s">
        <v>188</v>
      </c>
      <c r="HUQ16" t="s">
        <v>188</v>
      </c>
      <c r="HUR16" t="s">
        <v>188</v>
      </c>
      <c r="HUS16" t="s">
        <v>188</v>
      </c>
      <c r="HUT16" t="s">
        <v>188</v>
      </c>
      <c r="HUU16" t="s">
        <v>188</v>
      </c>
      <c r="HUV16" t="s">
        <v>188</v>
      </c>
      <c r="HUW16" t="s">
        <v>188</v>
      </c>
      <c r="HUX16" t="s">
        <v>188</v>
      </c>
      <c r="HUY16" t="s">
        <v>188</v>
      </c>
      <c r="HUZ16" t="s">
        <v>188</v>
      </c>
      <c r="HVA16" t="s">
        <v>188</v>
      </c>
      <c r="HVB16" t="s">
        <v>188</v>
      </c>
      <c r="HVC16" t="s">
        <v>188</v>
      </c>
      <c r="HVD16" t="s">
        <v>188</v>
      </c>
      <c r="HVE16" t="s">
        <v>188</v>
      </c>
      <c r="HVF16" t="s">
        <v>188</v>
      </c>
      <c r="HVG16" t="s">
        <v>188</v>
      </c>
      <c r="HVH16" t="s">
        <v>188</v>
      </c>
      <c r="HVI16" t="s">
        <v>188</v>
      </c>
      <c r="HVJ16" t="s">
        <v>188</v>
      </c>
      <c r="HVK16" t="s">
        <v>188</v>
      </c>
      <c r="HVL16" t="s">
        <v>188</v>
      </c>
      <c r="HVM16" t="s">
        <v>188</v>
      </c>
      <c r="HVN16" t="s">
        <v>188</v>
      </c>
      <c r="HVO16" t="s">
        <v>188</v>
      </c>
      <c r="HVP16" t="s">
        <v>188</v>
      </c>
      <c r="HVQ16" t="s">
        <v>188</v>
      </c>
      <c r="HVR16" t="s">
        <v>188</v>
      </c>
      <c r="HVS16" t="s">
        <v>188</v>
      </c>
      <c r="HVT16" t="s">
        <v>188</v>
      </c>
      <c r="HVU16" t="s">
        <v>188</v>
      </c>
      <c r="HVV16" t="s">
        <v>188</v>
      </c>
      <c r="HVW16" t="s">
        <v>188</v>
      </c>
      <c r="HVX16" t="s">
        <v>188</v>
      </c>
      <c r="HVY16" t="s">
        <v>188</v>
      </c>
      <c r="HVZ16" t="s">
        <v>188</v>
      </c>
      <c r="HWA16" t="s">
        <v>188</v>
      </c>
      <c r="HWB16" t="s">
        <v>188</v>
      </c>
      <c r="HWC16" t="s">
        <v>188</v>
      </c>
      <c r="HWD16" t="s">
        <v>188</v>
      </c>
      <c r="HWE16" t="s">
        <v>188</v>
      </c>
      <c r="HWF16" t="s">
        <v>188</v>
      </c>
      <c r="HWG16" t="s">
        <v>188</v>
      </c>
      <c r="HWH16" t="s">
        <v>188</v>
      </c>
      <c r="HWI16" t="s">
        <v>188</v>
      </c>
      <c r="HWJ16" t="s">
        <v>188</v>
      </c>
      <c r="HWK16" t="s">
        <v>188</v>
      </c>
      <c r="HWL16" t="s">
        <v>188</v>
      </c>
      <c r="HWM16" t="s">
        <v>188</v>
      </c>
      <c r="HWN16" t="s">
        <v>188</v>
      </c>
      <c r="HWO16" t="s">
        <v>188</v>
      </c>
      <c r="HWP16" t="s">
        <v>188</v>
      </c>
      <c r="HWQ16" t="s">
        <v>188</v>
      </c>
      <c r="HWR16" t="s">
        <v>188</v>
      </c>
      <c r="HWS16" t="s">
        <v>188</v>
      </c>
      <c r="HWT16" t="s">
        <v>188</v>
      </c>
      <c r="HWU16" t="s">
        <v>188</v>
      </c>
      <c r="HWV16" t="s">
        <v>188</v>
      </c>
      <c r="HWW16" t="s">
        <v>188</v>
      </c>
      <c r="HWX16" t="s">
        <v>188</v>
      </c>
      <c r="HWY16" t="s">
        <v>188</v>
      </c>
      <c r="HWZ16" t="s">
        <v>188</v>
      </c>
      <c r="HXA16" t="s">
        <v>188</v>
      </c>
      <c r="HXB16" t="s">
        <v>188</v>
      </c>
      <c r="HXC16" t="s">
        <v>188</v>
      </c>
      <c r="HXD16" t="s">
        <v>188</v>
      </c>
      <c r="HXE16" t="s">
        <v>188</v>
      </c>
      <c r="HXF16" t="s">
        <v>188</v>
      </c>
      <c r="HXG16" t="s">
        <v>188</v>
      </c>
      <c r="HXH16" t="s">
        <v>188</v>
      </c>
      <c r="HXI16" t="s">
        <v>188</v>
      </c>
      <c r="HXJ16" t="s">
        <v>188</v>
      </c>
      <c r="HXK16" t="s">
        <v>188</v>
      </c>
      <c r="HXL16" t="s">
        <v>188</v>
      </c>
      <c r="HXM16" t="s">
        <v>188</v>
      </c>
      <c r="HXN16" t="s">
        <v>188</v>
      </c>
      <c r="HXO16" t="s">
        <v>188</v>
      </c>
      <c r="HXP16" t="s">
        <v>188</v>
      </c>
      <c r="HXQ16" t="s">
        <v>188</v>
      </c>
      <c r="HXR16" t="s">
        <v>188</v>
      </c>
      <c r="HXS16" t="s">
        <v>188</v>
      </c>
      <c r="HXT16" t="s">
        <v>188</v>
      </c>
      <c r="HXU16" t="s">
        <v>188</v>
      </c>
      <c r="HXV16" t="s">
        <v>188</v>
      </c>
      <c r="HXW16" t="s">
        <v>188</v>
      </c>
      <c r="HXX16" t="s">
        <v>188</v>
      </c>
      <c r="HXY16" t="s">
        <v>188</v>
      </c>
      <c r="HXZ16" t="s">
        <v>188</v>
      </c>
      <c r="HYA16" t="s">
        <v>188</v>
      </c>
      <c r="HYB16" t="s">
        <v>188</v>
      </c>
      <c r="HYC16" t="s">
        <v>188</v>
      </c>
      <c r="HYD16" t="s">
        <v>188</v>
      </c>
      <c r="HYE16" t="s">
        <v>188</v>
      </c>
      <c r="HYF16" t="s">
        <v>188</v>
      </c>
      <c r="HYG16" t="s">
        <v>188</v>
      </c>
      <c r="HYH16" t="s">
        <v>188</v>
      </c>
      <c r="HYI16" t="s">
        <v>188</v>
      </c>
      <c r="HYJ16" t="s">
        <v>188</v>
      </c>
      <c r="HYK16" t="s">
        <v>188</v>
      </c>
      <c r="HYL16" t="s">
        <v>188</v>
      </c>
      <c r="HYM16" t="s">
        <v>188</v>
      </c>
      <c r="HYN16" t="s">
        <v>188</v>
      </c>
      <c r="HYO16" t="s">
        <v>188</v>
      </c>
      <c r="HYP16" t="s">
        <v>188</v>
      </c>
      <c r="HYQ16" t="s">
        <v>188</v>
      </c>
      <c r="HYR16" t="s">
        <v>188</v>
      </c>
      <c r="HYS16" t="s">
        <v>188</v>
      </c>
      <c r="HYT16" t="s">
        <v>188</v>
      </c>
      <c r="HYU16" t="s">
        <v>188</v>
      </c>
      <c r="HYV16" t="s">
        <v>188</v>
      </c>
      <c r="HYW16" t="s">
        <v>188</v>
      </c>
      <c r="HYX16" t="s">
        <v>188</v>
      </c>
      <c r="HYY16" t="s">
        <v>188</v>
      </c>
      <c r="HYZ16" t="s">
        <v>188</v>
      </c>
      <c r="HZA16" t="s">
        <v>188</v>
      </c>
      <c r="HZB16" t="s">
        <v>188</v>
      </c>
      <c r="HZC16" t="s">
        <v>188</v>
      </c>
      <c r="HZD16" t="s">
        <v>188</v>
      </c>
      <c r="HZE16" t="s">
        <v>188</v>
      </c>
      <c r="HZF16" t="s">
        <v>188</v>
      </c>
      <c r="HZG16" t="s">
        <v>188</v>
      </c>
      <c r="HZH16" t="s">
        <v>188</v>
      </c>
      <c r="HZI16" t="s">
        <v>188</v>
      </c>
      <c r="HZJ16" t="s">
        <v>188</v>
      </c>
      <c r="HZK16" t="s">
        <v>188</v>
      </c>
      <c r="HZL16" t="s">
        <v>188</v>
      </c>
      <c r="HZM16" t="s">
        <v>188</v>
      </c>
      <c r="HZN16" t="s">
        <v>188</v>
      </c>
      <c r="HZO16" t="s">
        <v>188</v>
      </c>
      <c r="HZP16" t="s">
        <v>188</v>
      </c>
      <c r="HZQ16" t="s">
        <v>188</v>
      </c>
      <c r="HZR16" t="s">
        <v>188</v>
      </c>
      <c r="HZS16" t="s">
        <v>188</v>
      </c>
      <c r="HZT16" t="s">
        <v>188</v>
      </c>
      <c r="HZU16" t="s">
        <v>188</v>
      </c>
      <c r="HZV16" t="s">
        <v>188</v>
      </c>
      <c r="HZW16" t="s">
        <v>188</v>
      </c>
      <c r="HZX16" t="s">
        <v>188</v>
      </c>
      <c r="HZY16" t="s">
        <v>188</v>
      </c>
      <c r="HZZ16" t="s">
        <v>188</v>
      </c>
      <c r="IAA16" t="s">
        <v>188</v>
      </c>
      <c r="IAB16" t="s">
        <v>188</v>
      </c>
      <c r="IAC16" t="s">
        <v>188</v>
      </c>
      <c r="IAD16" t="s">
        <v>188</v>
      </c>
      <c r="IAE16" t="s">
        <v>188</v>
      </c>
      <c r="IAF16" t="s">
        <v>188</v>
      </c>
      <c r="IAG16" t="s">
        <v>188</v>
      </c>
      <c r="IAH16" t="s">
        <v>188</v>
      </c>
      <c r="IAI16" t="s">
        <v>188</v>
      </c>
      <c r="IAJ16" t="s">
        <v>188</v>
      </c>
      <c r="IAK16" t="s">
        <v>188</v>
      </c>
      <c r="IAL16" t="s">
        <v>188</v>
      </c>
      <c r="IAM16" t="s">
        <v>188</v>
      </c>
      <c r="IAN16" t="s">
        <v>188</v>
      </c>
      <c r="IAO16" t="s">
        <v>188</v>
      </c>
      <c r="IAP16" t="s">
        <v>188</v>
      </c>
      <c r="IAQ16" t="s">
        <v>188</v>
      </c>
      <c r="IAR16" t="s">
        <v>188</v>
      </c>
      <c r="IAS16" t="s">
        <v>188</v>
      </c>
      <c r="IAT16" t="s">
        <v>188</v>
      </c>
      <c r="IAU16" t="s">
        <v>188</v>
      </c>
      <c r="IAV16" t="s">
        <v>188</v>
      </c>
      <c r="IAW16" t="s">
        <v>188</v>
      </c>
      <c r="IAX16" t="s">
        <v>188</v>
      </c>
      <c r="IAY16" t="s">
        <v>188</v>
      </c>
      <c r="IAZ16" t="s">
        <v>188</v>
      </c>
      <c r="IBA16" t="s">
        <v>188</v>
      </c>
      <c r="IBB16" t="s">
        <v>188</v>
      </c>
      <c r="IBC16" t="s">
        <v>188</v>
      </c>
      <c r="IBD16" t="s">
        <v>188</v>
      </c>
      <c r="IBE16" t="s">
        <v>188</v>
      </c>
      <c r="IBF16" t="s">
        <v>188</v>
      </c>
      <c r="IBG16" t="s">
        <v>188</v>
      </c>
      <c r="IBH16" t="s">
        <v>188</v>
      </c>
      <c r="IBI16" t="s">
        <v>188</v>
      </c>
      <c r="IBJ16" t="s">
        <v>188</v>
      </c>
      <c r="IBK16" t="s">
        <v>188</v>
      </c>
      <c r="IBL16" t="s">
        <v>188</v>
      </c>
      <c r="IBM16" t="s">
        <v>188</v>
      </c>
      <c r="IBN16" t="s">
        <v>188</v>
      </c>
      <c r="IBO16" t="s">
        <v>188</v>
      </c>
      <c r="IBP16" t="s">
        <v>188</v>
      </c>
      <c r="IBQ16" t="s">
        <v>188</v>
      </c>
      <c r="IBR16" t="s">
        <v>188</v>
      </c>
      <c r="IBS16" t="s">
        <v>188</v>
      </c>
      <c r="IBT16" t="s">
        <v>188</v>
      </c>
      <c r="IBU16" t="s">
        <v>188</v>
      </c>
      <c r="IBV16" t="s">
        <v>188</v>
      </c>
      <c r="IBW16" t="s">
        <v>188</v>
      </c>
      <c r="IBX16" t="s">
        <v>188</v>
      </c>
      <c r="IBY16" t="s">
        <v>188</v>
      </c>
      <c r="IBZ16" t="s">
        <v>188</v>
      </c>
      <c r="ICA16" t="s">
        <v>188</v>
      </c>
      <c r="ICB16" t="s">
        <v>188</v>
      </c>
      <c r="ICC16" t="s">
        <v>188</v>
      </c>
      <c r="ICD16" t="s">
        <v>188</v>
      </c>
      <c r="ICE16" t="s">
        <v>188</v>
      </c>
      <c r="ICF16" t="s">
        <v>188</v>
      </c>
      <c r="ICG16" t="s">
        <v>188</v>
      </c>
      <c r="ICH16" t="s">
        <v>188</v>
      </c>
      <c r="ICI16" t="s">
        <v>188</v>
      </c>
      <c r="ICJ16" t="s">
        <v>188</v>
      </c>
      <c r="ICK16" t="s">
        <v>188</v>
      </c>
      <c r="ICL16" t="s">
        <v>188</v>
      </c>
      <c r="ICM16" t="s">
        <v>188</v>
      </c>
      <c r="ICN16" t="s">
        <v>188</v>
      </c>
      <c r="ICO16" t="s">
        <v>188</v>
      </c>
      <c r="ICP16" t="s">
        <v>188</v>
      </c>
      <c r="ICQ16" t="s">
        <v>188</v>
      </c>
      <c r="ICR16" t="s">
        <v>188</v>
      </c>
      <c r="ICS16" t="s">
        <v>188</v>
      </c>
      <c r="ICT16" t="s">
        <v>188</v>
      </c>
      <c r="ICU16" t="s">
        <v>188</v>
      </c>
      <c r="ICV16" t="s">
        <v>188</v>
      </c>
      <c r="ICW16" t="s">
        <v>188</v>
      </c>
      <c r="ICX16" t="s">
        <v>188</v>
      </c>
      <c r="ICY16" t="s">
        <v>188</v>
      </c>
      <c r="ICZ16" t="s">
        <v>188</v>
      </c>
      <c r="IDA16" t="s">
        <v>188</v>
      </c>
      <c r="IDB16" t="s">
        <v>188</v>
      </c>
      <c r="IDC16" t="s">
        <v>188</v>
      </c>
      <c r="IDD16" t="s">
        <v>188</v>
      </c>
      <c r="IDE16" t="s">
        <v>188</v>
      </c>
      <c r="IDF16" t="s">
        <v>188</v>
      </c>
      <c r="IDG16" t="s">
        <v>188</v>
      </c>
      <c r="IDH16" t="s">
        <v>188</v>
      </c>
      <c r="IDI16" t="s">
        <v>188</v>
      </c>
      <c r="IDJ16" t="s">
        <v>188</v>
      </c>
      <c r="IDK16" t="s">
        <v>188</v>
      </c>
      <c r="IDL16" t="s">
        <v>188</v>
      </c>
      <c r="IDM16" t="s">
        <v>188</v>
      </c>
      <c r="IDN16" t="s">
        <v>188</v>
      </c>
      <c r="IDO16" t="s">
        <v>188</v>
      </c>
      <c r="IDP16" t="s">
        <v>188</v>
      </c>
      <c r="IDQ16" t="s">
        <v>188</v>
      </c>
      <c r="IDR16" t="s">
        <v>188</v>
      </c>
      <c r="IDS16" t="s">
        <v>188</v>
      </c>
      <c r="IDT16" t="s">
        <v>188</v>
      </c>
      <c r="IDU16" t="s">
        <v>188</v>
      </c>
      <c r="IDV16" t="s">
        <v>188</v>
      </c>
      <c r="IDW16" t="s">
        <v>188</v>
      </c>
      <c r="IDX16" t="s">
        <v>188</v>
      </c>
      <c r="IDY16" t="s">
        <v>188</v>
      </c>
      <c r="IDZ16" t="s">
        <v>188</v>
      </c>
      <c r="IEA16" t="s">
        <v>188</v>
      </c>
      <c r="IEB16" t="s">
        <v>188</v>
      </c>
      <c r="IEC16" t="s">
        <v>188</v>
      </c>
      <c r="IED16" t="s">
        <v>188</v>
      </c>
      <c r="IEE16" t="s">
        <v>188</v>
      </c>
      <c r="IEF16" t="s">
        <v>188</v>
      </c>
      <c r="IEG16" t="s">
        <v>188</v>
      </c>
      <c r="IEH16" t="s">
        <v>188</v>
      </c>
      <c r="IEI16" t="s">
        <v>188</v>
      </c>
      <c r="IEJ16" t="s">
        <v>188</v>
      </c>
      <c r="IEK16" t="s">
        <v>188</v>
      </c>
      <c r="IEL16" t="s">
        <v>188</v>
      </c>
      <c r="IEM16" t="s">
        <v>188</v>
      </c>
      <c r="IEN16" t="s">
        <v>188</v>
      </c>
      <c r="IEO16" t="s">
        <v>188</v>
      </c>
      <c r="IEP16" t="s">
        <v>188</v>
      </c>
      <c r="IEQ16" t="s">
        <v>188</v>
      </c>
      <c r="IER16" t="s">
        <v>188</v>
      </c>
      <c r="IES16" t="s">
        <v>188</v>
      </c>
      <c r="IET16" t="s">
        <v>188</v>
      </c>
      <c r="IEU16" t="s">
        <v>188</v>
      </c>
      <c r="IEV16" t="s">
        <v>188</v>
      </c>
      <c r="IEW16" t="s">
        <v>188</v>
      </c>
      <c r="IEX16" t="s">
        <v>188</v>
      </c>
      <c r="IEY16" t="s">
        <v>188</v>
      </c>
      <c r="IEZ16" t="s">
        <v>188</v>
      </c>
      <c r="IFA16" t="s">
        <v>188</v>
      </c>
      <c r="IFB16" t="s">
        <v>188</v>
      </c>
      <c r="IFC16" t="s">
        <v>188</v>
      </c>
      <c r="IFD16" t="s">
        <v>188</v>
      </c>
      <c r="IFE16" t="s">
        <v>188</v>
      </c>
      <c r="IFF16" t="s">
        <v>188</v>
      </c>
      <c r="IFG16" t="s">
        <v>188</v>
      </c>
      <c r="IFH16" t="s">
        <v>188</v>
      </c>
      <c r="IFI16" t="s">
        <v>188</v>
      </c>
      <c r="IFJ16" t="s">
        <v>188</v>
      </c>
      <c r="IFK16" t="s">
        <v>188</v>
      </c>
      <c r="IFL16" t="s">
        <v>188</v>
      </c>
      <c r="IFM16" t="s">
        <v>188</v>
      </c>
      <c r="IFN16" t="s">
        <v>188</v>
      </c>
      <c r="IFO16" t="s">
        <v>188</v>
      </c>
      <c r="IFP16" t="s">
        <v>188</v>
      </c>
      <c r="IFQ16" t="s">
        <v>188</v>
      </c>
      <c r="IFR16" t="s">
        <v>188</v>
      </c>
      <c r="IFS16" t="s">
        <v>188</v>
      </c>
      <c r="IFT16" t="s">
        <v>188</v>
      </c>
      <c r="IFU16" t="s">
        <v>188</v>
      </c>
      <c r="IFV16" t="s">
        <v>188</v>
      </c>
      <c r="IFW16" t="s">
        <v>188</v>
      </c>
      <c r="IFX16" t="s">
        <v>188</v>
      </c>
      <c r="IFY16" t="s">
        <v>188</v>
      </c>
      <c r="IFZ16" t="s">
        <v>188</v>
      </c>
      <c r="IGA16" t="s">
        <v>188</v>
      </c>
      <c r="IGB16" t="s">
        <v>188</v>
      </c>
      <c r="IGC16" t="s">
        <v>188</v>
      </c>
      <c r="IGD16" t="s">
        <v>188</v>
      </c>
      <c r="IGE16" t="s">
        <v>188</v>
      </c>
      <c r="IGF16" t="s">
        <v>188</v>
      </c>
      <c r="IGG16" t="s">
        <v>188</v>
      </c>
      <c r="IGH16" t="s">
        <v>188</v>
      </c>
      <c r="IGI16" t="s">
        <v>188</v>
      </c>
      <c r="IGJ16" t="s">
        <v>188</v>
      </c>
      <c r="IGK16" t="s">
        <v>188</v>
      </c>
      <c r="IGL16" t="s">
        <v>188</v>
      </c>
      <c r="IGM16" t="s">
        <v>188</v>
      </c>
      <c r="IGN16" t="s">
        <v>188</v>
      </c>
      <c r="IGO16" t="s">
        <v>188</v>
      </c>
      <c r="IGP16" t="s">
        <v>188</v>
      </c>
      <c r="IGQ16" t="s">
        <v>188</v>
      </c>
      <c r="IGR16" t="s">
        <v>188</v>
      </c>
      <c r="IGS16" t="s">
        <v>188</v>
      </c>
      <c r="IGT16" t="s">
        <v>188</v>
      </c>
      <c r="IGU16" t="s">
        <v>188</v>
      </c>
      <c r="IGV16" t="s">
        <v>188</v>
      </c>
      <c r="IGW16" t="s">
        <v>188</v>
      </c>
      <c r="IGX16" t="s">
        <v>188</v>
      </c>
      <c r="IGY16" t="s">
        <v>188</v>
      </c>
      <c r="IGZ16" t="s">
        <v>188</v>
      </c>
      <c r="IHA16" t="s">
        <v>188</v>
      </c>
      <c r="IHB16" t="s">
        <v>188</v>
      </c>
      <c r="IHC16" t="s">
        <v>188</v>
      </c>
      <c r="IHD16" t="s">
        <v>188</v>
      </c>
      <c r="IHE16" t="s">
        <v>188</v>
      </c>
      <c r="IHF16" t="s">
        <v>188</v>
      </c>
      <c r="IHG16" t="s">
        <v>188</v>
      </c>
      <c r="IHH16" t="s">
        <v>188</v>
      </c>
      <c r="IHI16" t="s">
        <v>188</v>
      </c>
      <c r="IHJ16" t="s">
        <v>188</v>
      </c>
      <c r="IHK16" t="s">
        <v>188</v>
      </c>
      <c r="IHL16" t="s">
        <v>188</v>
      </c>
      <c r="IHM16" t="s">
        <v>188</v>
      </c>
      <c r="IHN16" t="s">
        <v>188</v>
      </c>
      <c r="IHO16" t="s">
        <v>188</v>
      </c>
      <c r="IHP16" t="s">
        <v>188</v>
      </c>
      <c r="IHQ16" t="s">
        <v>188</v>
      </c>
      <c r="IHR16" t="s">
        <v>188</v>
      </c>
      <c r="IHS16" t="s">
        <v>188</v>
      </c>
      <c r="IHT16" t="s">
        <v>188</v>
      </c>
      <c r="IHU16" t="s">
        <v>188</v>
      </c>
      <c r="IHV16" t="s">
        <v>188</v>
      </c>
      <c r="IHW16" t="s">
        <v>188</v>
      </c>
      <c r="IHX16" t="s">
        <v>188</v>
      </c>
      <c r="IHY16" t="s">
        <v>188</v>
      </c>
      <c r="IHZ16" t="s">
        <v>188</v>
      </c>
      <c r="IIA16" t="s">
        <v>188</v>
      </c>
      <c r="IIB16" t="s">
        <v>188</v>
      </c>
      <c r="IIC16" t="s">
        <v>188</v>
      </c>
      <c r="IID16" t="s">
        <v>188</v>
      </c>
      <c r="IIE16" t="s">
        <v>188</v>
      </c>
      <c r="IIF16" t="s">
        <v>188</v>
      </c>
      <c r="IIG16" t="s">
        <v>188</v>
      </c>
      <c r="IIH16" t="s">
        <v>188</v>
      </c>
      <c r="III16" t="s">
        <v>188</v>
      </c>
      <c r="IIJ16" t="s">
        <v>188</v>
      </c>
      <c r="IIK16" t="s">
        <v>188</v>
      </c>
      <c r="IIL16" t="s">
        <v>188</v>
      </c>
      <c r="IIM16" t="s">
        <v>188</v>
      </c>
      <c r="IIN16" t="s">
        <v>188</v>
      </c>
      <c r="IIO16" t="s">
        <v>188</v>
      </c>
      <c r="IIP16" t="s">
        <v>188</v>
      </c>
      <c r="IIQ16" t="s">
        <v>188</v>
      </c>
      <c r="IIR16" t="s">
        <v>188</v>
      </c>
      <c r="IIS16" t="s">
        <v>188</v>
      </c>
      <c r="IIT16" t="s">
        <v>188</v>
      </c>
      <c r="IIU16" t="s">
        <v>188</v>
      </c>
      <c r="IIV16" t="s">
        <v>188</v>
      </c>
      <c r="IIW16" t="s">
        <v>188</v>
      </c>
      <c r="IIX16" t="s">
        <v>188</v>
      </c>
      <c r="IIY16" t="s">
        <v>188</v>
      </c>
      <c r="IIZ16" t="s">
        <v>188</v>
      </c>
      <c r="IJA16" t="s">
        <v>188</v>
      </c>
      <c r="IJB16" t="s">
        <v>188</v>
      </c>
      <c r="IJC16" t="s">
        <v>188</v>
      </c>
      <c r="IJD16" t="s">
        <v>188</v>
      </c>
      <c r="IJE16" t="s">
        <v>188</v>
      </c>
      <c r="IJF16" t="s">
        <v>188</v>
      </c>
      <c r="IJG16" t="s">
        <v>188</v>
      </c>
      <c r="IJH16" t="s">
        <v>188</v>
      </c>
      <c r="IJI16" t="s">
        <v>188</v>
      </c>
      <c r="IJJ16" t="s">
        <v>188</v>
      </c>
      <c r="IJK16" t="s">
        <v>188</v>
      </c>
      <c r="IJL16" t="s">
        <v>188</v>
      </c>
      <c r="IJM16" t="s">
        <v>188</v>
      </c>
      <c r="IJN16" t="s">
        <v>188</v>
      </c>
      <c r="IJO16" t="s">
        <v>188</v>
      </c>
      <c r="IJP16" t="s">
        <v>188</v>
      </c>
      <c r="IJQ16" t="s">
        <v>188</v>
      </c>
      <c r="IJR16" t="s">
        <v>188</v>
      </c>
      <c r="IJS16" t="s">
        <v>188</v>
      </c>
      <c r="IJT16" t="s">
        <v>188</v>
      </c>
      <c r="IJU16" t="s">
        <v>188</v>
      </c>
      <c r="IJV16" t="s">
        <v>188</v>
      </c>
      <c r="IJW16" t="s">
        <v>188</v>
      </c>
      <c r="IJX16" t="s">
        <v>188</v>
      </c>
      <c r="IJY16" t="s">
        <v>188</v>
      </c>
      <c r="IJZ16" t="s">
        <v>188</v>
      </c>
      <c r="IKA16" t="s">
        <v>188</v>
      </c>
      <c r="IKB16" t="s">
        <v>188</v>
      </c>
      <c r="IKC16" t="s">
        <v>188</v>
      </c>
      <c r="IKD16" t="s">
        <v>188</v>
      </c>
      <c r="IKE16" t="s">
        <v>188</v>
      </c>
      <c r="IKF16" t="s">
        <v>188</v>
      </c>
      <c r="IKG16" t="s">
        <v>188</v>
      </c>
      <c r="IKH16" t="s">
        <v>188</v>
      </c>
      <c r="IKI16" t="s">
        <v>188</v>
      </c>
      <c r="IKJ16" t="s">
        <v>188</v>
      </c>
      <c r="IKK16" t="s">
        <v>188</v>
      </c>
      <c r="IKL16" t="s">
        <v>188</v>
      </c>
      <c r="IKM16" t="s">
        <v>188</v>
      </c>
      <c r="IKN16" t="s">
        <v>188</v>
      </c>
      <c r="IKO16" t="s">
        <v>188</v>
      </c>
      <c r="IKP16" t="s">
        <v>188</v>
      </c>
      <c r="IKQ16" t="s">
        <v>188</v>
      </c>
      <c r="IKR16" t="s">
        <v>188</v>
      </c>
      <c r="IKS16" t="s">
        <v>188</v>
      </c>
      <c r="IKT16" t="s">
        <v>188</v>
      </c>
      <c r="IKU16" t="s">
        <v>188</v>
      </c>
      <c r="IKV16" t="s">
        <v>188</v>
      </c>
      <c r="IKW16" t="s">
        <v>188</v>
      </c>
      <c r="IKX16" t="s">
        <v>188</v>
      </c>
      <c r="IKY16" t="s">
        <v>188</v>
      </c>
      <c r="IKZ16" t="s">
        <v>188</v>
      </c>
      <c r="ILA16" t="s">
        <v>188</v>
      </c>
      <c r="ILB16" t="s">
        <v>188</v>
      </c>
      <c r="ILC16" t="s">
        <v>188</v>
      </c>
      <c r="ILD16" t="s">
        <v>188</v>
      </c>
      <c r="ILE16" t="s">
        <v>188</v>
      </c>
      <c r="ILF16" t="s">
        <v>188</v>
      </c>
      <c r="ILG16" t="s">
        <v>188</v>
      </c>
      <c r="ILH16" t="s">
        <v>188</v>
      </c>
      <c r="ILI16" t="s">
        <v>188</v>
      </c>
      <c r="ILJ16" t="s">
        <v>188</v>
      </c>
      <c r="ILK16" t="s">
        <v>188</v>
      </c>
      <c r="ILL16" t="s">
        <v>188</v>
      </c>
      <c r="ILM16" t="s">
        <v>188</v>
      </c>
      <c r="ILN16" t="s">
        <v>188</v>
      </c>
      <c r="ILO16" t="s">
        <v>188</v>
      </c>
      <c r="ILP16" t="s">
        <v>188</v>
      </c>
      <c r="ILQ16" t="s">
        <v>188</v>
      </c>
      <c r="ILR16" t="s">
        <v>188</v>
      </c>
      <c r="ILS16" t="s">
        <v>188</v>
      </c>
      <c r="ILT16" t="s">
        <v>188</v>
      </c>
      <c r="ILU16" t="s">
        <v>188</v>
      </c>
      <c r="ILV16" t="s">
        <v>188</v>
      </c>
      <c r="ILW16" t="s">
        <v>188</v>
      </c>
      <c r="ILX16" t="s">
        <v>188</v>
      </c>
      <c r="ILY16" t="s">
        <v>188</v>
      </c>
      <c r="ILZ16" t="s">
        <v>188</v>
      </c>
      <c r="IMA16" t="s">
        <v>188</v>
      </c>
      <c r="IMB16" t="s">
        <v>188</v>
      </c>
      <c r="IMC16" t="s">
        <v>188</v>
      </c>
      <c r="IMD16" t="s">
        <v>188</v>
      </c>
      <c r="IME16" t="s">
        <v>188</v>
      </c>
      <c r="IMF16" t="s">
        <v>188</v>
      </c>
      <c r="IMG16" t="s">
        <v>188</v>
      </c>
      <c r="IMH16" t="s">
        <v>188</v>
      </c>
      <c r="IMI16" t="s">
        <v>188</v>
      </c>
      <c r="IMJ16" t="s">
        <v>188</v>
      </c>
      <c r="IMK16" t="s">
        <v>188</v>
      </c>
      <c r="IML16" t="s">
        <v>188</v>
      </c>
      <c r="IMM16" t="s">
        <v>188</v>
      </c>
      <c r="IMN16" t="s">
        <v>188</v>
      </c>
      <c r="IMO16" t="s">
        <v>188</v>
      </c>
      <c r="IMP16" t="s">
        <v>188</v>
      </c>
      <c r="IMQ16" t="s">
        <v>188</v>
      </c>
      <c r="IMR16" t="s">
        <v>188</v>
      </c>
      <c r="IMS16" t="s">
        <v>188</v>
      </c>
      <c r="IMT16" t="s">
        <v>188</v>
      </c>
      <c r="IMU16" t="s">
        <v>188</v>
      </c>
      <c r="IMV16" t="s">
        <v>188</v>
      </c>
      <c r="IMW16" t="s">
        <v>188</v>
      </c>
      <c r="IMX16" t="s">
        <v>188</v>
      </c>
      <c r="IMY16" t="s">
        <v>188</v>
      </c>
      <c r="IMZ16" t="s">
        <v>188</v>
      </c>
      <c r="INA16" t="s">
        <v>188</v>
      </c>
      <c r="INB16" t="s">
        <v>188</v>
      </c>
      <c r="INC16" t="s">
        <v>188</v>
      </c>
      <c r="IND16" t="s">
        <v>188</v>
      </c>
      <c r="INE16" t="s">
        <v>188</v>
      </c>
      <c r="INF16" t="s">
        <v>188</v>
      </c>
      <c r="ING16" t="s">
        <v>188</v>
      </c>
      <c r="INH16" t="s">
        <v>188</v>
      </c>
      <c r="INI16" t="s">
        <v>188</v>
      </c>
      <c r="INJ16" t="s">
        <v>188</v>
      </c>
      <c r="INK16" t="s">
        <v>188</v>
      </c>
      <c r="INL16" t="s">
        <v>188</v>
      </c>
      <c r="INM16" t="s">
        <v>188</v>
      </c>
      <c r="INN16" t="s">
        <v>188</v>
      </c>
      <c r="INO16" t="s">
        <v>188</v>
      </c>
      <c r="INP16" t="s">
        <v>188</v>
      </c>
      <c r="INQ16" t="s">
        <v>188</v>
      </c>
      <c r="INR16" t="s">
        <v>188</v>
      </c>
      <c r="INS16" t="s">
        <v>188</v>
      </c>
      <c r="INT16" t="s">
        <v>188</v>
      </c>
      <c r="INU16" t="s">
        <v>188</v>
      </c>
      <c r="INV16" t="s">
        <v>188</v>
      </c>
      <c r="INW16" t="s">
        <v>188</v>
      </c>
      <c r="INX16" t="s">
        <v>188</v>
      </c>
      <c r="INY16" t="s">
        <v>188</v>
      </c>
      <c r="INZ16" t="s">
        <v>188</v>
      </c>
      <c r="IOA16" t="s">
        <v>188</v>
      </c>
      <c r="IOB16" t="s">
        <v>188</v>
      </c>
      <c r="IOC16" t="s">
        <v>188</v>
      </c>
      <c r="IOD16" t="s">
        <v>188</v>
      </c>
      <c r="IOE16" t="s">
        <v>188</v>
      </c>
      <c r="IOF16" t="s">
        <v>188</v>
      </c>
      <c r="IOG16" t="s">
        <v>188</v>
      </c>
      <c r="IOH16" t="s">
        <v>188</v>
      </c>
      <c r="IOI16" t="s">
        <v>188</v>
      </c>
      <c r="IOJ16" t="s">
        <v>188</v>
      </c>
      <c r="IOK16" t="s">
        <v>188</v>
      </c>
      <c r="IOL16" t="s">
        <v>188</v>
      </c>
      <c r="IOM16" t="s">
        <v>188</v>
      </c>
      <c r="ION16" t="s">
        <v>188</v>
      </c>
      <c r="IOO16" t="s">
        <v>188</v>
      </c>
      <c r="IOP16" t="s">
        <v>188</v>
      </c>
      <c r="IOQ16" t="s">
        <v>188</v>
      </c>
      <c r="IOR16" t="s">
        <v>188</v>
      </c>
      <c r="IOS16" t="s">
        <v>188</v>
      </c>
      <c r="IOT16" t="s">
        <v>188</v>
      </c>
      <c r="IOU16" t="s">
        <v>188</v>
      </c>
      <c r="IOV16" t="s">
        <v>188</v>
      </c>
      <c r="IOW16" t="s">
        <v>188</v>
      </c>
      <c r="IOX16" t="s">
        <v>188</v>
      </c>
      <c r="IOY16" t="s">
        <v>188</v>
      </c>
      <c r="IOZ16" t="s">
        <v>188</v>
      </c>
      <c r="IPA16" t="s">
        <v>188</v>
      </c>
      <c r="IPB16" t="s">
        <v>188</v>
      </c>
      <c r="IPC16" t="s">
        <v>188</v>
      </c>
      <c r="IPD16" t="s">
        <v>188</v>
      </c>
      <c r="IPE16" t="s">
        <v>188</v>
      </c>
      <c r="IPF16" t="s">
        <v>188</v>
      </c>
      <c r="IPG16" t="s">
        <v>188</v>
      </c>
      <c r="IPH16" t="s">
        <v>188</v>
      </c>
      <c r="IPI16" t="s">
        <v>188</v>
      </c>
      <c r="IPJ16" t="s">
        <v>188</v>
      </c>
      <c r="IPK16" t="s">
        <v>188</v>
      </c>
      <c r="IPL16" t="s">
        <v>188</v>
      </c>
      <c r="IPM16" t="s">
        <v>188</v>
      </c>
      <c r="IPN16" t="s">
        <v>188</v>
      </c>
      <c r="IPO16" t="s">
        <v>188</v>
      </c>
      <c r="IPP16" t="s">
        <v>188</v>
      </c>
      <c r="IPQ16" t="s">
        <v>188</v>
      </c>
      <c r="IPR16" t="s">
        <v>188</v>
      </c>
      <c r="IPS16" t="s">
        <v>188</v>
      </c>
      <c r="IPT16" t="s">
        <v>188</v>
      </c>
      <c r="IPU16" t="s">
        <v>188</v>
      </c>
      <c r="IPV16" t="s">
        <v>188</v>
      </c>
      <c r="IPW16" t="s">
        <v>188</v>
      </c>
      <c r="IPX16" t="s">
        <v>188</v>
      </c>
      <c r="IPY16" t="s">
        <v>188</v>
      </c>
      <c r="IPZ16" t="s">
        <v>188</v>
      </c>
      <c r="IQA16" t="s">
        <v>188</v>
      </c>
      <c r="IQB16" t="s">
        <v>188</v>
      </c>
      <c r="IQC16" t="s">
        <v>188</v>
      </c>
      <c r="IQD16" t="s">
        <v>188</v>
      </c>
      <c r="IQE16" t="s">
        <v>188</v>
      </c>
      <c r="IQF16" t="s">
        <v>188</v>
      </c>
      <c r="IQG16" t="s">
        <v>188</v>
      </c>
      <c r="IQH16" t="s">
        <v>188</v>
      </c>
      <c r="IQI16" t="s">
        <v>188</v>
      </c>
      <c r="IQJ16" t="s">
        <v>188</v>
      </c>
      <c r="IQK16" t="s">
        <v>188</v>
      </c>
      <c r="IQL16" t="s">
        <v>188</v>
      </c>
      <c r="IQM16" t="s">
        <v>188</v>
      </c>
      <c r="IQN16" t="s">
        <v>188</v>
      </c>
      <c r="IQO16" t="s">
        <v>188</v>
      </c>
      <c r="IQP16" t="s">
        <v>188</v>
      </c>
      <c r="IQQ16" t="s">
        <v>188</v>
      </c>
      <c r="IQR16" t="s">
        <v>188</v>
      </c>
      <c r="IQS16" t="s">
        <v>188</v>
      </c>
      <c r="IQT16" t="s">
        <v>188</v>
      </c>
      <c r="IQU16" t="s">
        <v>188</v>
      </c>
      <c r="IQV16" t="s">
        <v>188</v>
      </c>
      <c r="IQW16" t="s">
        <v>188</v>
      </c>
      <c r="IQX16" t="s">
        <v>188</v>
      </c>
      <c r="IQY16" t="s">
        <v>188</v>
      </c>
      <c r="IQZ16" t="s">
        <v>188</v>
      </c>
      <c r="IRA16" t="s">
        <v>188</v>
      </c>
      <c r="IRB16" t="s">
        <v>188</v>
      </c>
      <c r="IRC16" t="s">
        <v>188</v>
      </c>
      <c r="IRD16" t="s">
        <v>188</v>
      </c>
      <c r="IRE16" t="s">
        <v>188</v>
      </c>
      <c r="IRF16" t="s">
        <v>188</v>
      </c>
      <c r="IRG16" t="s">
        <v>188</v>
      </c>
      <c r="IRH16" t="s">
        <v>188</v>
      </c>
      <c r="IRI16" t="s">
        <v>188</v>
      </c>
      <c r="IRJ16" t="s">
        <v>188</v>
      </c>
      <c r="IRK16" t="s">
        <v>188</v>
      </c>
      <c r="IRL16" t="s">
        <v>188</v>
      </c>
      <c r="IRM16" t="s">
        <v>188</v>
      </c>
      <c r="IRN16" t="s">
        <v>188</v>
      </c>
      <c r="IRO16" t="s">
        <v>188</v>
      </c>
      <c r="IRP16" t="s">
        <v>188</v>
      </c>
      <c r="IRQ16" t="s">
        <v>188</v>
      </c>
      <c r="IRR16" t="s">
        <v>188</v>
      </c>
      <c r="IRS16" t="s">
        <v>188</v>
      </c>
      <c r="IRT16" t="s">
        <v>188</v>
      </c>
      <c r="IRU16" t="s">
        <v>188</v>
      </c>
      <c r="IRV16" t="s">
        <v>188</v>
      </c>
      <c r="IRW16" t="s">
        <v>188</v>
      </c>
      <c r="IRX16" t="s">
        <v>188</v>
      </c>
      <c r="IRY16" t="s">
        <v>188</v>
      </c>
      <c r="IRZ16" t="s">
        <v>188</v>
      </c>
      <c r="ISA16" t="s">
        <v>188</v>
      </c>
      <c r="ISB16" t="s">
        <v>188</v>
      </c>
      <c r="ISC16" t="s">
        <v>188</v>
      </c>
      <c r="ISD16" t="s">
        <v>188</v>
      </c>
      <c r="ISE16" t="s">
        <v>188</v>
      </c>
      <c r="ISF16" t="s">
        <v>188</v>
      </c>
      <c r="ISG16" t="s">
        <v>188</v>
      </c>
      <c r="ISH16" t="s">
        <v>188</v>
      </c>
      <c r="ISI16" t="s">
        <v>188</v>
      </c>
      <c r="ISJ16" t="s">
        <v>188</v>
      </c>
      <c r="ISK16" t="s">
        <v>188</v>
      </c>
      <c r="ISL16" t="s">
        <v>188</v>
      </c>
      <c r="ISM16" t="s">
        <v>188</v>
      </c>
      <c r="ISN16" t="s">
        <v>188</v>
      </c>
      <c r="ISO16" t="s">
        <v>188</v>
      </c>
      <c r="ISP16" t="s">
        <v>188</v>
      </c>
      <c r="ISQ16" t="s">
        <v>188</v>
      </c>
      <c r="ISR16" t="s">
        <v>188</v>
      </c>
      <c r="ISS16" t="s">
        <v>188</v>
      </c>
      <c r="IST16" t="s">
        <v>188</v>
      </c>
      <c r="ISU16" t="s">
        <v>188</v>
      </c>
      <c r="ISV16" t="s">
        <v>188</v>
      </c>
      <c r="ISW16" t="s">
        <v>188</v>
      </c>
      <c r="ISX16" t="s">
        <v>188</v>
      </c>
      <c r="ISY16" t="s">
        <v>188</v>
      </c>
      <c r="ISZ16" t="s">
        <v>188</v>
      </c>
      <c r="ITA16" t="s">
        <v>188</v>
      </c>
      <c r="ITB16" t="s">
        <v>188</v>
      </c>
      <c r="ITC16" t="s">
        <v>188</v>
      </c>
      <c r="ITD16" t="s">
        <v>188</v>
      </c>
      <c r="ITE16" t="s">
        <v>188</v>
      </c>
      <c r="ITF16" t="s">
        <v>188</v>
      </c>
      <c r="ITG16" t="s">
        <v>188</v>
      </c>
      <c r="ITH16" t="s">
        <v>188</v>
      </c>
      <c r="ITI16" t="s">
        <v>188</v>
      </c>
      <c r="ITJ16" t="s">
        <v>188</v>
      </c>
      <c r="ITK16" t="s">
        <v>188</v>
      </c>
      <c r="ITL16" t="s">
        <v>188</v>
      </c>
      <c r="ITM16" t="s">
        <v>188</v>
      </c>
      <c r="ITN16" t="s">
        <v>188</v>
      </c>
      <c r="ITO16" t="s">
        <v>188</v>
      </c>
      <c r="ITP16" t="s">
        <v>188</v>
      </c>
      <c r="ITQ16" t="s">
        <v>188</v>
      </c>
      <c r="ITR16" t="s">
        <v>188</v>
      </c>
      <c r="ITS16" t="s">
        <v>188</v>
      </c>
      <c r="ITT16" t="s">
        <v>188</v>
      </c>
      <c r="ITU16" t="s">
        <v>188</v>
      </c>
      <c r="ITV16" t="s">
        <v>188</v>
      </c>
      <c r="ITW16" t="s">
        <v>188</v>
      </c>
      <c r="ITX16" t="s">
        <v>188</v>
      </c>
      <c r="ITY16" t="s">
        <v>188</v>
      </c>
      <c r="ITZ16" t="s">
        <v>188</v>
      </c>
      <c r="IUA16" t="s">
        <v>188</v>
      </c>
      <c r="IUB16" t="s">
        <v>188</v>
      </c>
      <c r="IUC16" t="s">
        <v>188</v>
      </c>
      <c r="IUD16" t="s">
        <v>188</v>
      </c>
      <c r="IUE16" t="s">
        <v>188</v>
      </c>
      <c r="IUF16" t="s">
        <v>188</v>
      </c>
      <c r="IUG16" t="s">
        <v>188</v>
      </c>
      <c r="IUH16" t="s">
        <v>188</v>
      </c>
      <c r="IUI16" t="s">
        <v>188</v>
      </c>
      <c r="IUJ16" t="s">
        <v>188</v>
      </c>
      <c r="IUK16" t="s">
        <v>188</v>
      </c>
      <c r="IUL16" t="s">
        <v>188</v>
      </c>
      <c r="IUM16" t="s">
        <v>188</v>
      </c>
      <c r="IUN16" t="s">
        <v>188</v>
      </c>
      <c r="IUO16" t="s">
        <v>188</v>
      </c>
      <c r="IUP16" t="s">
        <v>188</v>
      </c>
      <c r="IUQ16" t="s">
        <v>188</v>
      </c>
      <c r="IUR16" t="s">
        <v>188</v>
      </c>
      <c r="IUS16" t="s">
        <v>188</v>
      </c>
      <c r="IUT16" t="s">
        <v>188</v>
      </c>
      <c r="IUU16" t="s">
        <v>188</v>
      </c>
      <c r="IUV16" t="s">
        <v>188</v>
      </c>
      <c r="IUW16" t="s">
        <v>188</v>
      </c>
      <c r="IUX16" t="s">
        <v>188</v>
      </c>
      <c r="IUY16" t="s">
        <v>188</v>
      </c>
      <c r="IUZ16" t="s">
        <v>188</v>
      </c>
      <c r="IVA16" t="s">
        <v>188</v>
      </c>
      <c r="IVB16" t="s">
        <v>188</v>
      </c>
      <c r="IVC16" t="s">
        <v>188</v>
      </c>
      <c r="IVD16" t="s">
        <v>188</v>
      </c>
      <c r="IVE16" t="s">
        <v>188</v>
      </c>
      <c r="IVF16" t="s">
        <v>188</v>
      </c>
      <c r="IVG16" t="s">
        <v>188</v>
      </c>
      <c r="IVH16" t="s">
        <v>188</v>
      </c>
      <c r="IVI16" t="s">
        <v>188</v>
      </c>
      <c r="IVJ16" t="s">
        <v>188</v>
      </c>
      <c r="IVK16" t="s">
        <v>188</v>
      </c>
      <c r="IVL16" t="s">
        <v>188</v>
      </c>
      <c r="IVM16" t="s">
        <v>188</v>
      </c>
      <c r="IVN16" t="s">
        <v>188</v>
      </c>
      <c r="IVO16" t="s">
        <v>188</v>
      </c>
      <c r="IVP16" t="s">
        <v>188</v>
      </c>
      <c r="IVQ16" t="s">
        <v>188</v>
      </c>
      <c r="IVR16" t="s">
        <v>188</v>
      </c>
      <c r="IVS16" t="s">
        <v>188</v>
      </c>
      <c r="IVT16" t="s">
        <v>188</v>
      </c>
      <c r="IVU16" t="s">
        <v>188</v>
      </c>
      <c r="IVV16" t="s">
        <v>188</v>
      </c>
      <c r="IVW16" t="s">
        <v>188</v>
      </c>
      <c r="IVX16" t="s">
        <v>188</v>
      </c>
      <c r="IVY16" t="s">
        <v>188</v>
      </c>
      <c r="IVZ16" t="s">
        <v>188</v>
      </c>
      <c r="IWA16" t="s">
        <v>188</v>
      </c>
      <c r="IWB16" t="s">
        <v>188</v>
      </c>
      <c r="IWC16" t="s">
        <v>188</v>
      </c>
      <c r="IWD16" t="s">
        <v>188</v>
      </c>
      <c r="IWE16" t="s">
        <v>188</v>
      </c>
      <c r="IWF16" t="s">
        <v>188</v>
      </c>
      <c r="IWG16" t="s">
        <v>188</v>
      </c>
      <c r="IWH16" t="s">
        <v>188</v>
      </c>
      <c r="IWI16" t="s">
        <v>188</v>
      </c>
      <c r="IWJ16" t="s">
        <v>188</v>
      </c>
      <c r="IWK16" t="s">
        <v>188</v>
      </c>
      <c r="IWL16" t="s">
        <v>188</v>
      </c>
      <c r="IWM16" t="s">
        <v>188</v>
      </c>
      <c r="IWN16" t="s">
        <v>188</v>
      </c>
      <c r="IWO16" t="s">
        <v>188</v>
      </c>
      <c r="IWP16" t="s">
        <v>188</v>
      </c>
      <c r="IWQ16" t="s">
        <v>188</v>
      </c>
      <c r="IWR16" t="s">
        <v>188</v>
      </c>
      <c r="IWS16" t="s">
        <v>188</v>
      </c>
      <c r="IWT16" t="s">
        <v>188</v>
      </c>
      <c r="IWU16" t="s">
        <v>188</v>
      </c>
      <c r="IWV16" t="s">
        <v>188</v>
      </c>
      <c r="IWW16" t="s">
        <v>188</v>
      </c>
      <c r="IWX16" t="s">
        <v>188</v>
      </c>
      <c r="IWY16" t="s">
        <v>188</v>
      </c>
      <c r="IWZ16" t="s">
        <v>188</v>
      </c>
      <c r="IXA16" t="s">
        <v>188</v>
      </c>
      <c r="IXB16" t="s">
        <v>188</v>
      </c>
      <c r="IXC16" t="s">
        <v>188</v>
      </c>
      <c r="IXD16" t="s">
        <v>188</v>
      </c>
      <c r="IXE16" t="s">
        <v>188</v>
      </c>
      <c r="IXF16" t="s">
        <v>188</v>
      </c>
      <c r="IXG16" t="s">
        <v>188</v>
      </c>
      <c r="IXH16" t="s">
        <v>188</v>
      </c>
      <c r="IXI16" t="s">
        <v>188</v>
      </c>
      <c r="IXJ16" t="s">
        <v>188</v>
      </c>
      <c r="IXK16" t="s">
        <v>188</v>
      </c>
      <c r="IXL16" t="s">
        <v>188</v>
      </c>
      <c r="IXM16" t="s">
        <v>188</v>
      </c>
      <c r="IXN16" t="s">
        <v>188</v>
      </c>
      <c r="IXO16" t="s">
        <v>188</v>
      </c>
      <c r="IXP16" t="s">
        <v>188</v>
      </c>
      <c r="IXQ16" t="s">
        <v>188</v>
      </c>
      <c r="IXR16" t="s">
        <v>188</v>
      </c>
      <c r="IXS16" t="s">
        <v>188</v>
      </c>
      <c r="IXT16" t="s">
        <v>188</v>
      </c>
      <c r="IXU16" t="s">
        <v>188</v>
      </c>
      <c r="IXV16" t="s">
        <v>188</v>
      </c>
      <c r="IXW16" t="s">
        <v>188</v>
      </c>
      <c r="IXX16" t="s">
        <v>188</v>
      </c>
      <c r="IXY16" t="s">
        <v>188</v>
      </c>
      <c r="IXZ16" t="s">
        <v>188</v>
      </c>
      <c r="IYA16" t="s">
        <v>188</v>
      </c>
      <c r="IYB16" t="s">
        <v>188</v>
      </c>
      <c r="IYC16" t="s">
        <v>188</v>
      </c>
      <c r="IYD16" t="s">
        <v>188</v>
      </c>
      <c r="IYE16" t="s">
        <v>188</v>
      </c>
      <c r="IYF16" t="s">
        <v>188</v>
      </c>
      <c r="IYG16" t="s">
        <v>188</v>
      </c>
      <c r="IYH16" t="s">
        <v>188</v>
      </c>
      <c r="IYI16" t="s">
        <v>188</v>
      </c>
      <c r="IYJ16" t="s">
        <v>188</v>
      </c>
      <c r="IYK16" t="s">
        <v>188</v>
      </c>
      <c r="IYL16" t="s">
        <v>188</v>
      </c>
      <c r="IYM16" t="s">
        <v>188</v>
      </c>
      <c r="IYN16" t="s">
        <v>188</v>
      </c>
      <c r="IYO16" t="s">
        <v>188</v>
      </c>
      <c r="IYP16" t="s">
        <v>188</v>
      </c>
      <c r="IYQ16" t="s">
        <v>188</v>
      </c>
      <c r="IYR16" t="s">
        <v>188</v>
      </c>
      <c r="IYS16" t="s">
        <v>188</v>
      </c>
      <c r="IYT16" t="s">
        <v>188</v>
      </c>
      <c r="IYU16" t="s">
        <v>188</v>
      </c>
      <c r="IYV16" t="s">
        <v>188</v>
      </c>
      <c r="IYW16" t="s">
        <v>188</v>
      </c>
      <c r="IYX16" t="s">
        <v>188</v>
      </c>
      <c r="IYY16" t="s">
        <v>188</v>
      </c>
      <c r="IYZ16" t="s">
        <v>188</v>
      </c>
      <c r="IZA16" t="s">
        <v>188</v>
      </c>
      <c r="IZB16" t="s">
        <v>188</v>
      </c>
      <c r="IZC16" t="s">
        <v>188</v>
      </c>
      <c r="IZD16" t="s">
        <v>188</v>
      </c>
      <c r="IZE16" t="s">
        <v>188</v>
      </c>
      <c r="IZF16" t="s">
        <v>188</v>
      </c>
      <c r="IZG16" t="s">
        <v>188</v>
      </c>
      <c r="IZH16" t="s">
        <v>188</v>
      </c>
      <c r="IZI16" t="s">
        <v>188</v>
      </c>
      <c r="IZJ16" t="s">
        <v>188</v>
      </c>
      <c r="IZK16" t="s">
        <v>188</v>
      </c>
      <c r="IZL16" t="s">
        <v>188</v>
      </c>
      <c r="IZM16" t="s">
        <v>188</v>
      </c>
      <c r="IZN16" t="s">
        <v>188</v>
      </c>
      <c r="IZO16" t="s">
        <v>188</v>
      </c>
      <c r="IZP16" t="s">
        <v>188</v>
      </c>
      <c r="IZQ16" t="s">
        <v>188</v>
      </c>
      <c r="IZR16" t="s">
        <v>188</v>
      </c>
      <c r="IZS16" t="s">
        <v>188</v>
      </c>
      <c r="IZT16" t="s">
        <v>188</v>
      </c>
      <c r="IZU16" t="s">
        <v>188</v>
      </c>
      <c r="IZV16" t="s">
        <v>188</v>
      </c>
      <c r="IZW16" t="s">
        <v>188</v>
      </c>
      <c r="IZX16" t="s">
        <v>188</v>
      </c>
      <c r="IZY16" t="s">
        <v>188</v>
      </c>
      <c r="IZZ16" t="s">
        <v>188</v>
      </c>
      <c r="JAA16" t="s">
        <v>188</v>
      </c>
      <c r="JAB16" t="s">
        <v>188</v>
      </c>
      <c r="JAC16" t="s">
        <v>188</v>
      </c>
      <c r="JAD16" t="s">
        <v>188</v>
      </c>
      <c r="JAE16" t="s">
        <v>188</v>
      </c>
      <c r="JAF16" t="s">
        <v>188</v>
      </c>
      <c r="JAG16" t="s">
        <v>188</v>
      </c>
      <c r="JAH16" t="s">
        <v>188</v>
      </c>
      <c r="JAI16" t="s">
        <v>188</v>
      </c>
      <c r="JAJ16" t="s">
        <v>188</v>
      </c>
      <c r="JAK16" t="s">
        <v>188</v>
      </c>
      <c r="JAL16" t="s">
        <v>188</v>
      </c>
      <c r="JAM16" t="s">
        <v>188</v>
      </c>
      <c r="JAN16" t="s">
        <v>188</v>
      </c>
      <c r="JAO16" t="s">
        <v>188</v>
      </c>
      <c r="JAP16" t="s">
        <v>188</v>
      </c>
      <c r="JAQ16" t="s">
        <v>188</v>
      </c>
      <c r="JAR16" t="s">
        <v>188</v>
      </c>
      <c r="JAS16" t="s">
        <v>188</v>
      </c>
      <c r="JAT16" t="s">
        <v>188</v>
      </c>
      <c r="JAU16" t="s">
        <v>188</v>
      </c>
      <c r="JAV16" t="s">
        <v>188</v>
      </c>
      <c r="JAW16" t="s">
        <v>188</v>
      </c>
      <c r="JAX16" t="s">
        <v>188</v>
      </c>
      <c r="JAY16" t="s">
        <v>188</v>
      </c>
      <c r="JAZ16" t="s">
        <v>188</v>
      </c>
      <c r="JBA16" t="s">
        <v>188</v>
      </c>
      <c r="JBB16" t="s">
        <v>188</v>
      </c>
      <c r="JBC16" t="s">
        <v>188</v>
      </c>
      <c r="JBD16" t="s">
        <v>188</v>
      </c>
      <c r="JBE16" t="s">
        <v>188</v>
      </c>
      <c r="JBF16" t="s">
        <v>188</v>
      </c>
      <c r="JBG16" t="s">
        <v>188</v>
      </c>
      <c r="JBH16" t="s">
        <v>188</v>
      </c>
      <c r="JBI16" t="s">
        <v>188</v>
      </c>
      <c r="JBJ16" t="s">
        <v>188</v>
      </c>
      <c r="JBK16" t="s">
        <v>188</v>
      </c>
      <c r="JBL16" t="s">
        <v>188</v>
      </c>
      <c r="JBM16" t="s">
        <v>188</v>
      </c>
      <c r="JBN16" t="s">
        <v>188</v>
      </c>
      <c r="JBO16" t="s">
        <v>188</v>
      </c>
      <c r="JBP16" t="s">
        <v>188</v>
      </c>
      <c r="JBQ16" t="s">
        <v>188</v>
      </c>
      <c r="JBR16" t="s">
        <v>188</v>
      </c>
      <c r="JBS16" t="s">
        <v>188</v>
      </c>
      <c r="JBT16" t="s">
        <v>188</v>
      </c>
      <c r="JBU16" t="s">
        <v>188</v>
      </c>
      <c r="JBV16" t="s">
        <v>188</v>
      </c>
      <c r="JBW16" t="s">
        <v>188</v>
      </c>
      <c r="JBX16" t="s">
        <v>188</v>
      </c>
      <c r="JBY16" t="s">
        <v>188</v>
      </c>
      <c r="JBZ16" t="s">
        <v>188</v>
      </c>
      <c r="JCA16" t="s">
        <v>188</v>
      </c>
      <c r="JCB16" t="s">
        <v>188</v>
      </c>
      <c r="JCC16" t="s">
        <v>188</v>
      </c>
      <c r="JCD16" t="s">
        <v>188</v>
      </c>
      <c r="JCE16" t="s">
        <v>188</v>
      </c>
      <c r="JCF16" t="s">
        <v>188</v>
      </c>
      <c r="JCG16" t="s">
        <v>188</v>
      </c>
      <c r="JCH16" t="s">
        <v>188</v>
      </c>
      <c r="JCI16" t="s">
        <v>188</v>
      </c>
      <c r="JCJ16" t="s">
        <v>188</v>
      </c>
      <c r="JCK16" t="s">
        <v>188</v>
      </c>
      <c r="JCL16" t="s">
        <v>188</v>
      </c>
      <c r="JCM16" t="s">
        <v>188</v>
      </c>
      <c r="JCN16" t="s">
        <v>188</v>
      </c>
      <c r="JCO16" t="s">
        <v>188</v>
      </c>
      <c r="JCP16" t="s">
        <v>188</v>
      </c>
      <c r="JCQ16" t="s">
        <v>188</v>
      </c>
      <c r="JCR16" t="s">
        <v>188</v>
      </c>
      <c r="JCS16" t="s">
        <v>188</v>
      </c>
      <c r="JCT16" t="s">
        <v>188</v>
      </c>
      <c r="JCU16" t="s">
        <v>188</v>
      </c>
      <c r="JCV16" t="s">
        <v>188</v>
      </c>
      <c r="JCW16" t="s">
        <v>188</v>
      </c>
      <c r="JCX16" t="s">
        <v>188</v>
      </c>
      <c r="JCY16" t="s">
        <v>188</v>
      </c>
      <c r="JCZ16" t="s">
        <v>188</v>
      </c>
      <c r="JDA16" t="s">
        <v>188</v>
      </c>
      <c r="JDB16" t="s">
        <v>188</v>
      </c>
      <c r="JDC16" t="s">
        <v>188</v>
      </c>
      <c r="JDD16" t="s">
        <v>188</v>
      </c>
      <c r="JDE16" t="s">
        <v>188</v>
      </c>
      <c r="JDF16" t="s">
        <v>188</v>
      </c>
      <c r="JDG16" t="s">
        <v>188</v>
      </c>
      <c r="JDH16" t="s">
        <v>188</v>
      </c>
      <c r="JDI16" t="s">
        <v>188</v>
      </c>
      <c r="JDJ16" t="s">
        <v>188</v>
      </c>
      <c r="JDK16" t="s">
        <v>188</v>
      </c>
      <c r="JDL16" t="s">
        <v>188</v>
      </c>
      <c r="JDM16" t="s">
        <v>188</v>
      </c>
      <c r="JDN16" t="s">
        <v>188</v>
      </c>
      <c r="JDO16" t="s">
        <v>188</v>
      </c>
      <c r="JDP16" t="s">
        <v>188</v>
      </c>
      <c r="JDQ16" t="s">
        <v>188</v>
      </c>
      <c r="JDR16" t="s">
        <v>188</v>
      </c>
      <c r="JDS16" t="s">
        <v>188</v>
      </c>
      <c r="JDT16" t="s">
        <v>188</v>
      </c>
      <c r="JDU16" t="s">
        <v>188</v>
      </c>
      <c r="JDV16" t="s">
        <v>188</v>
      </c>
      <c r="JDW16" t="s">
        <v>188</v>
      </c>
      <c r="JDX16" t="s">
        <v>188</v>
      </c>
      <c r="JDY16" t="s">
        <v>188</v>
      </c>
      <c r="JDZ16" t="s">
        <v>188</v>
      </c>
      <c r="JEA16" t="s">
        <v>188</v>
      </c>
      <c r="JEB16" t="s">
        <v>188</v>
      </c>
      <c r="JEC16" t="s">
        <v>188</v>
      </c>
      <c r="JED16" t="s">
        <v>188</v>
      </c>
      <c r="JEE16" t="s">
        <v>188</v>
      </c>
      <c r="JEF16" t="s">
        <v>188</v>
      </c>
      <c r="JEG16" t="s">
        <v>188</v>
      </c>
      <c r="JEH16" t="s">
        <v>188</v>
      </c>
      <c r="JEI16" t="s">
        <v>188</v>
      </c>
      <c r="JEJ16" t="s">
        <v>188</v>
      </c>
      <c r="JEK16" t="s">
        <v>188</v>
      </c>
      <c r="JEL16" t="s">
        <v>188</v>
      </c>
      <c r="JEM16" t="s">
        <v>188</v>
      </c>
      <c r="JEN16" t="s">
        <v>188</v>
      </c>
      <c r="JEO16" t="s">
        <v>188</v>
      </c>
      <c r="JEP16" t="s">
        <v>188</v>
      </c>
      <c r="JEQ16" t="s">
        <v>188</v>
      </c>
      <c r="JER16" t="s">
        <v>188</v>
      </c>
      <c r="JES16" t="s">
        <v>188</v>
      </c>
      <c r="JET16" t="s">
        <v>188</v>
      </c>
      <c r="JEU16" t="s">
        <v>188</v>
      </c>
      <c r="JEV16" t="s">
        <v>188</v>
      </c>
      <c r="JEW16" t="s">
        <v>188</v>
      </c>
      <c r="JEX16" t="s">
        <v>188</v>
      </c>
      <c r="JEY16" t="s">
        <v>188</v>
      </c>
      <c r="JEZ16" t="s">
        <v>188</v>
      </c>
      <c r="JFA16" t="s">
        <v>188</v>
      </c>
      <c r="JFB16" t="s">
        <v>188</v>
      </c>
      <c r="JFC16" t="s">
        <v>188</v>
      </c>
      <c r="JFD16" t="s">
        <v>188</v>
      </c>
      <c r="JFE16" t="s">
        <v>188</v>
      </c>
      <c r="JFF16" t="s">
        <v>188</v>
      </c>
      <c r="JFG16" t="s">
        <v>188</v>
      </c>
      <c r="JFH16" t="s">
        <v>188</v>
      </c>
      <c r="JFI16" t="s">
        <v>188</v>
      </c>
      <c r="JFJ16" t="s">
        <v>188</v>
      </c>
      <c r="JFK16" t="s">
        <v>188</v>
      </c>
      <c r="JFL16" t="s">
        <v>188</v>
      </c>
      <c r="JFM16" t="s">
        <v>188</v>
      </c>
      <c r="JFN16" t="s">
        <v>188</v>
      </c>
      <c r="JFO16" t="s">
        <v>188</v>
      </c>
      <c r="JFP16" t="s">
        <v>188</v>
      </c>
      <c r="JFQ16" t="s">
        <v>188</v>
      </c>
      <c r="JFR16" t="s">
        <v>188</v>
      </c>
      <c r="JFS16" t="s">
        <v>188</v>
      </c>
      <c r="JFT16" t="s">
        <v>188</v>
      </c>
      <c r="JFU16" t="s">
        <v>188</v>
      </c>
      <c r="JFV16" t="s">
        <v>188</v>
      </c>
      <c r="JFW16" t="s">
        <v>188</v>
      </c>
      <c r="JFX16" t="s">
        <v>188</v>
      </c>
      <c r="JFY16" t="s">
        <v>188</v>
      </c>
      <c r="JFZ16" t="s">
        <v>188</v>
      </c>
      <c r="JGA16" t="s">
        <v>188</v>
      </c>
      <c r="JGB16" t="s">
        <v>188</v>
      </c>
      <c r="JGC16" t="s">
        <v>188</v>
      </c>
      <c r="JGD16" t="s">
        <v>188</v>
      </c>
      <c r="JGE16" t="s">
        <v>188</v>
      </c>
      <c r="JGF16" t="s">
        <v>188</v>
      </c>
      <c r="JGG16" t="s">
        <v>188</v>
      </c>
      <c r="JGH16" t="s">
        <v>188</v>
      </c>
      <c r="JGI16" t="s">
        <v>188</v>
      </c>
      <c r="JGJ16" t="s">
        <v>188</v>
      </c>
      <c r="JGK16" t="s">
        <v>188</v>
      </c>
      <c r="JGL16" t="s">
        <v>188</v>
      </c>
      <c r="JGM16" t="s">
        <v>188</v>
      </c>
      <c r="JGN16" t="s">
        <v>188</v>
      </c>
      <c r="JGO16" t="s">
        <v>188</v>
      </c>
      <c r="JGP16" t="s">
        <v>188</v>
      </c>
      <c r="JGQ16" t="s">
        <v>188</v>
      </c>
      <c r="JGR16" t="s">
        <v>188</v>
      </c>
      <c r="JGS16" t="s">
        <v>188</v>
      </c>
      <c r="JGT16" t="s">
        <v>188</v>
      </c>
      <c r="JGU16" t="s">
        <v>188</v>
      </c>
      <c r="JGV16" t="s">
        <v>188</v>
      </c>
      <c r="JGW16" t="s">
        <v>188</v>
      </c>
      <c r="JGX16" t="s">
        <v>188</v>
      </c>
      <c r="JGY16" t="s">
        <v>188</v>
      </c>
      <c r="JGZ16" t="s">
        <v>188</v>
      </c>
      <c r="JHA16" t="s">
        <v>188</v>
      </c>
      <c r="JHB16" t="s">
        <v>188</v>
      </c>
      <c r="JHC16" t="s">
        <v>188</v>
      </c>
      <c r="JHD16" t="s">
        <v>188</v>
      </c>
      <c r="JHE16" t="s">
        <v>188</v>
      </c>
      <c r="JHF16" t="s">
        <v>188</v>
      </c>
      <c r="JHG16" t="s">
        <v>188</v>
      </c>
      <c r="JHH16" t="s">
        <v>188</v>
      </c>
      <c r="JHI16" t="s">
        <v>188</v>
      </c>
      <c r="JHJ16" t="s">
        <v>188</v>
      </c>
      <c r="JHK16" t="s">
        <v>188</v>
      </c>
      <c r="JHL16" t="s">
        <v>188</v>
      </c>
      <c r="JHM16" t="s">
        <v>188</v>
      </c>
      <c r="JHN16" t="s">
        <v>188</v>
      </c>
      <c r="JHO16" t="s">
        <v>188</v>
      </c>
      <c r="JHP16" t="s">
        <v>188</v>
      </c>
      <c r="JHQ16" t="s">
        <v>188</v>
      </c>
      <c r="JHR16" t="s">
        <v>188</v>
      </c>
      <c r="JHS16" t="s">
        <v>188</v>
      </c>
      <c r="JHT16" t="s">
        <v>188</v>
      </c>
      <c r="JHU16" t="s">
        <v>188</v>
      </c>
      <c r="JHV16" t="s">
        <v>188</v>
      </c>
      <c r="JHW16" t="s">
        <v>188</v>
      </c>
      <c r="JHX16" t="s">
        <v>188</v>
      </c>
      <c r="JHY16" t="s">
        <v>188</v>
      </c>
      <c r="JHZ16" t="s">
        <v>188</v>
      </c>
      <c r="JIA16" t="s">
        <v>188</v>
      </c>
      <c r="JIB16" t="s">
        <v>188</v>
      </c>
      <c r="JIC16" t="s">
        <v>188</v>
      </c>
      <c r="JID16" t="s">
        <v>188</v>
      </c>
      <c r="JIE16" t="s">
        <v>188</v>
      </c>
      <c r="JIF16" t="s">
        <v>188</v>
      </c>
      <c r="JIG16" t="s">
        <v>188</v>
      </c>
      <c r="JIH16" t="s">
        <v>188</v>
      </c>
      <c r="JII16" t="s">
        <v>188</v>
      </c>
      <c r="JIJ16" t="s">
        <v>188</v>
      </c>
      <c r="JIK16" t="s">
        <v>188</v>
      </c>
      <c r="JIL16" t="s">
        <v>188</v>
      </c>
      <c r="JIM16" t="s">
        <v>188</v>
      </c>
      <c r="JIN16" t="s">
        <v>188</v>
      </c>
      <c r="JIO16" t="s">
        <v>188</v>
      </c>
      <c r="JIP16" t="s">
        <v>188</v>
      </c>
      <c r="JIQ16" t="s">
        <v>188</v>
      </c>
      <c r="JIR16" t="s">
        <v>188</v>
      </c>
      <c r="JIS16" t="s">
        <v>188</v>
      </c>
      <c r="JIT16" t="s">
        <v>188</v>
      </c>
      <c r="JIU16" t="s">
        <v>188</v>
      </c>
      <c r="JIV16" t="s">
        <v>188</v>
      </c>
      <c r="JIW16" t="s">
        <v>188</v>
      </c>
      <c r="JIX16" t="s">
        <v>188</v>
      </c>
      <c r="JIY16" t="s">
        <v>188</v>
      </c>
      <c r="JIZ16" t="s">
        <v>188</v>
      </c>
      <c r="JJA16" t="s">
        <v>188</v>
      </c>
      <c r="JJB16" t="s">
        <v>188</v>
      </c>
      <c r="JJC16" t="s">
        <v>188</v>
      </c>
      <c r="JJD16" t="s">
        <v>188</v>
      </c>
      <c r="JJE16" t="s">
        <v>188</v>
      </c>
      <c r="JJF16" t="s">
        <v>188</v>
      </c>
      <c r="JJG16" t="s">
        <v>188</v>
      </c>
      <c r="JJH16" t="s">
        <v>188</v>
      </c>
      <c r="JJI16" t="s">
        <v>188</v>
      </c>
      <c r="JJJ16" t="s">
        <v>188</v>
      </c>
      <c r="JJK16" t="s">
        <v>188</v>
      </c>
      <c r="JJL16" t="s">
        <v>188</v>
      </c>
      <c r="JJM16" t="s">
        <v>188</v>
      </c>
      <c r="JJN16" t="s">
        <v>188</v>
      </c>
      <c r="JJO16" t="s">
        <v>188</v>
      </c>
      <c r="JJP16" t="s">
        <v>188</v>
      </c>
      <c r="JJQ16" t="s">
        <v>188</v>
      </c>
      <c r="JJR16" t="s">
        <v>188</v>
      </c>
      <c r="JJS16" t="s">
        <v>188</v>
      </c>
      <c r="JJT16" t="s">
        <v>188</v>
      </c>
      <c r="JJU16" t="s">
        <v>188</v>
      </c>
      <c r="JJV16" t="s">
        <v>188</v>
      </c>
      <c r="JJW16" t="s">
        <v>188</v>
      </c>
      <c r="JJX16" t="s">
        <v>188</v>
      </c>
      <c r="JJY16" t="s">
        <v>188</v>
      </c>
      <c r="JJZ16" t="s">
        <v>188</v>
      </c>
      <c r="JKA16" t="s">
        <v>188</v>
      </c>
      <c r="JKB16" t="s">
        <v>188</v>
      </c>
      <c r="JKC16" t="s">
        <v>188</v>
      </c>
      <c r="JKD16" t="s">
        <v>188</v>
      </c>
      <c r="JKE16" t="s">
        <v>188</v>
      </c>
      <c r="JKF16" t="s">
        <v>188</v>
      </c>
      <c r="JKG16" t="s">
        <v>188</v>
      </c>
      <c r="JKH16" t="s">
        <v>188</v>
      </c>
      <c r="JKI16" t="s">
        <v>188</v>
      </c>
      <c r="JKJ16" t="s">
        <v>188</v>
      </c>
      <c r="JKK16" t="s">
        <v>188</v>
      </c>
      <c r="JKL16" t="s">
        <v>188</v>
      </c>
      <c r="JKM16" t="s">
        <v>188</v>
      </c>
      <c r="JKN16" t="s">
        <v>188</v>
      </c>
      <c r="JKO16" t="s">
        <v>188</v>
      </c>
      <c r="JKP16" t="s">
        <v>188</v>
      </c>
      <c r="JKQ16" t="s">
        <v>188</v>
      </c>
      <c r="JKR16" t="s">
        <v>188</v>
      </c>
      <c r="JKS16" t="s">
        <v>188</v>
      </c>
      <c r="JKT16" t="s">
        <v>188</v>
      </c>
      <c r="JKU16" t="s">
        <v>188</v>
      </c>
      <c r="JKV16" t="s">
        <v>188</v>
      </c>
      <c r="JKW16" t="s">
        <v>188</v>
      </c>
      <c r="JKX16" t="s">
        <v>188</v>
      </c>
      <c r="JKY16" t="s">
        <v>188</v>
      </c>
      <c r="JKZ16" t="s">
        <v>188</v>
      </c>
      <c r="JLA16" t="s">
        <v>188</v>
      </c>
      <c r="JLB16" t="s">
        <v>188</v>
      </c>
      <c r="JLC16" t="s">
        <v>188</v>
      </c>
      <c r="JLD16" t="s">
        <v>188</v>
      </c>
      <c r="JLE16" t="s">
        <v>188</v>
      </c>
      <c r="JLF16" t="s">
        <v>188</v>
      </c>
      <c r="JLG16" t="s">
        <v>188</v>
      </c>
      <c r="JLH16" t="s">
        <v>188</v>
      </c>
      <c r="JLI16" t="s">
        <v>188</v>
      </c>
      <c r="JLJ16" t="s">
        <v>188</v>
      </c>
      <c r="JLK16" t="s">
        <v>188</v>
      </c>
      <c r="JLL16" t="s">
        <v>188</v>
      </c>
      <c r="JLM16" t="s">
        <v>188</v>
      </c>
      <c r="JLN16" t="s">
        <v>188</v>
      </c>
      <c r="JLO16" t="s">
        <v>188</v>
      </c>
      <c r="JLP16" t="s">
        <v>188</v>
      </c>
      <c r="JLQ16" t="s">
        <v>188</v>
      </c>
      <c r="JLR16" t="s">
        <v>188</v>
      </c>
      <c r="JLS16" t="s">
        <v>188</v>
      </c>
      <c r="JLT16" t="s">
        <v>188</v>
      </c>
      <c r="JLU16" t="s">
        <v>188</v>
      </c>
      <c r="JLV16" t="s">
        <v>188</v>
      </c>
      <c r="JLW16" t="s">
        <v>188</v>
      </c>
      <c r="JLX16" t="s">
        <v>188</v>
      </c>
      <c r="JLY16" t="s">
        <v>188</v>
      </c>
      <c r="JLZ16" t="s">
        <v>188</v>
      </c>
      <c r="JMA16" t="s">
        <v>188</v>
      </c>
      <c r="JMB16" t="s">
        <v>188</v>
      </c>
      <c r="JMC16" t="s">
        <v>188</v>
      </c>
      <c r="JMD16" t="s">
        <v>188</v>
      </c>
      <c r="JME16" t="s">
        <v>188</v>
      </c>
      <c r="JMF16" t="s">
        <v>188</v>
      </c>
      <c r="JMG16" t="s">
        <v>188</v>
      </c>
      <c r="JMH16" t="s">
        <v>188</v>
      </c>
      <c r="JMI16" t="s">
        <v>188</v>
      </c>
      <c r="JMJ16" t="s">
        <v>188</v>
      </c>
      <c r="JMK16" t="s">
        <v>188</v>
      </c>
      <c r="JML16" t="s">
        <v>188</v>
      </c>
      <c r="JMM16" t="s">
        <v>188</v>
      </c>
      <c r="JMN16" t="s">
        <v>188</v>
      </c>
      <c r="JMO16" t="s">
        <v>188</v>
      </c>
      <c r="JMP16" t="s">
        <v>188</v>
      </c>
      <c r="JMQ16" t="s">
        <v>188</v>
      </c>
      <c r="JMR16" t="s">
        <v>188</v>
      </c>
      <c r="JMS16" t="s">
        <v>188</v>
      </c>
      <c r="JMT16" t="s">
        <v>188</v>
      </c>
      <c r="JMU16" t="s">
        <v>188</v>
      </c>
      <c r="JMV16" t="s">
        <v>188</v>
      </c>
      <c r="JMW16" t="s">
        <v>188</v>
      </c>
      <c r="JMX16" t="s">
        <v>188</v>
      </c>
      <c r="JMY16" t="s">
        <v>188</v>
      </c>
      <c r="JMZ16" t="s">
        <v>188</v>
      </c>
      <c r="JNA16" t="s">
        <v>188</v>
      </c>
      <c r="JNB16" t="s">
        <v>188</v>
      </c>
      <c r="JNC16" t="s">
        <v>188</v>
      </c>
      <c r="JND16" t="s">
        <v>188</v>
      </c>
      <c r="JNE16" t="s">
        <v>188</v>
      </c>
      <c r="JNF16" t="s">
        <v>188</v>
      </c>
      <c r="JNG16" t="s">
        <v>188</v>
      </c>
      <c r="JNH16" t="s">
        <v>188</v>
      </c>
      <c r="JNI16" t="s">
        <v>188</v>
      </c>
      <c r="JNJ16" t="s">
        <v>188</v>
      </c>
      <c r="JNK16" t="s">
        <v>188</v>
      </c>
      <c r="JNL16" t="s">
        <v>188</v>
      </c>
      <c r="JNM16" t="s">
        <v>188</v>
      </c>
      <c r="JNN16" t="s">
        <v>188</v>
      </c>
      <c r="JNO16" t="s">
        <v>188</v>
      </c>
      <c r="JNP16" t="s">
        <v>188</v>
      </c>
      <c r="JNQ16" t="s">
        <v>188</v>
      </c>
      <c r="JNR16" t="s">
        <v>188</v>
      </c>
      <c r="JNS16" t="s">
        <v>188</v>
      </c>
      <c r="JNT16" t="s">
        <v>188</v>
      </c>
      <c r="JNU16" t="s">
        <v>188</v>
      </c>
      <c r="JNV16" t="s">
        <v>188</v>
      </c>
      <c r="JNW16" t="s">
        <v>188</v>
      </c>
      <c r="JNX16" t="s">
        <v>188</v>
      </c>
      <c r="JNY16" t="s">
        <v>188</v>
      </c>
      <c r="JNZ16" t="s">
        <v>188</v>
      </c>
      <c r="JOA16" t="s">
        <v>188</v>
      </c>
      <c r="JOB16" t="s">
        <v>188</v>
      </c>
      <c r="JOC16" t="s">
        <v>188</v>
      </c>
      <c r="JOD16" t="s">
        <v>188</v>
      </c>
      <c r="JOE16" t="s">
        <v>188</v>
      </c>
      <c r="JOF16" t="s">
        <v>188</v>
      </c>
      <c r="JOG16" t="s">
        <v>188</v>
      </c>
      <c r="JOH16" t="s">
        <v>188</v>
      </c>
      <c r="JOI16" t="s">
        <v>188</v>
      </c>
      <c r="JOJ16" t="s">
        <v>188</v>
      </c>
      <c r="JOK16" t="s">
        <v>188</v>
      </c>
      <c r="JOL16" t="s">
        <v>188</v>
      </c>
      <c r="JOM16" t="s">
        <v>188</v>
      </c>
      <c r="JON16" t="s">
        <v>188</v>
      </c>
      <c r="JOO16" t="s">
        <v>188</v>
      </c>
      <c r="JOP16" t="s">
        <v>188</v>
      </c>
      <c r="JOQ16" t="s">
        <v>188</v>
      </c>
      <c r="JOR16" t="s">
        <v>188</v>
      </c>
      <c r="JOS16" t="s">
        <v>188</v>
      </c>
      <c r="JOT16" t="s">
        <v>188</v>
      </c>
      <c r="JOU16" t="s">
        <v>188</v>
      </c>
      <c r="JOV16" t="s">
        <v>188</v>
      </c>
      <c r="JOW16" t="s">
        <v>188</v>
      </c>
      <c r="JOX16" t="s">
        <v>188</v>
      </c>
      <c r="JOY16" t="s">
        <v>188</v>
      </c>
      <c r="JOZ16" t="s">
        <v>188</v>
      </c>
      <c r="JPA16" t="s">
        <v>188</v>
      </c>
      <c r="JPB16" t="s">
        <v>188</v>
      </c>
      <c r="JPC16" t="s">
        <v>188</v>
      </c>
      <c r="JPD16" t="s">
        <v>188</v>
      </c>
      <c r="JPE16" t="s">
        <v>188</v>
      </c>
      <c r="JPF16" t="s">
        <v>188</v>
      </c>
      <c r="JPG16" t="s">
        <v>188</v>
      </c>
      <c r="JPH16" t="s">
        <v>188</v>
      </c>
      <c r="JPI16" t="s">
        <v>188</v>
      </c>
      <c r="JPJ16" t="s">
        <v>188</v>
      </c>
      <c r="JPK16" t="s">
        <v>188</v>
      </c>
      <c r="JPL16" t="s">
        <v>188</v>
      </c>
      <c r="JPM16" t="s">
        <v>188</v>
      </c>
      <c r="JPN16" t="s">
        <v>188</v>
      </c>
      <c r="JPO16" t="s">
        <v>188</v>
      </c>
      <c r="JPP16" t="s">
        <v>188</v>
      </c>
      <c r="JPQ16" t="s">
        <v>188</v>
      </c>
      <c r="JPR16" t="s">
        <v>188</v>
      </c>
      <c r="JPS16" t="s">
        <v>188</v>
      </c>
      <c r="JPT16" t="s">
        <v>188</v>
      </c>
      <c r="JPU16" t="s">
        <v>188</v>
      </c>
      <c r="JPV16" t="s">
        <v>188</v>
      </c>
      <c r="JPW16" t="s">
        <v>188</v>
      </c>
      <c r="JPX16" t="s">
        <v>188</v>
      </c>
      <c r="JPY16" t="s">
        <v>188</v>
      </c>
      <c r="JPZ16" t="s">
        <v>188</v>
      </c>
      <c r="JQA16" t="s">
        <v>188</v>
      </c>
      <c r="JQB16" t="s">
        <v>188</v>
      </c>
      <c r="JQC16" t="s">
        <v>188</v>
      </c>
      <c r="JQD16" t="s">
        <v>188</v>
      </c>
      <c r="JQE16" t="s">
        <v>188</v>
      </c>
      <c r="JQF16" t="s">
        <v>188</v>
      </c>
      <c r="JQG16" t="s">
        <v>188</v>
      </c>
      <c r="JQH16" t="s">
        <v>188</v>
      </c>
      <c r="JQI16" t="s">
        <v>188</v>
      </c>
      <c r="JQJ16" t="s">
        <v>188</v>
      </c>
      <c r="JQK16" t="s">
        <v>188</v>
      </c>
      <c r="JQL16" t="s">
        <v>188</v>
      </c>
      <c r="JQM16" t="s">
        <v>188</v>
      </c>
      <c r="JQN16" t="s">
        <v>188</v>
      </c>
      <c r="JQO16" t="s">
        <v>188</v>
      </c>
      <c r="JQP16" t="s">
        <v>188</v>
      </c>
      <c r="JQQ16" t="s">
        <v>188</v>
      </c>
      <c r="JQR16" t="s">
        <v>188</v>
      </c>
      <c r="JQS16" t="s">
        <v>188</v>
      </c>
      <c r="JQT16" t="s">
        <v>188</v>
      </c>
      <c r="JQU16" t="s">
        <v>188</v>
      </c>
      <c r="JQV16" t="s">
        <v>188</v>
      </c>
      <c r="JQW16" t="s">
        <v>188</v>
      </c>
      <c r="JQX16" t="s">
        <v>188</v>
      </c>
      <c r="JQY16" t="s">
        <v>188</v>
      </c>
      <c r="JQZ16" t="s">
        <v>188</v>
      </c>
      <c r="JRA16" t="s">
        <v>188</v>
      </c>
      <c r="JRB16" t="s">
        <v>188</v>
      </c>
      <c r="JRC16" t="s">
        <v>188</v>
      </c>
      <c r="JRD16" t="s">
        <v>188</v>
      </c>
      <c r="JRE16" t="s">
        <v>188</v>
      </c>
      <c r="JRF16" t="s">
        <v>188</v>
      </c>
      <c r="JRG16" t="s">
        <v>188</v>
      </c>
      <c r="JRH16" t="s">
        <v>188</v>
      </c>
      <c r="JRI16" t="s">
        <v>188</v>
      </c>
      <c r="JRJ16" t="s">
        <v>188</v>
      </c>
      <c r="JRK16" t="s">
        <v>188</v>
      </c>
      <c r="JRL16" t="s">
        <v>188</v>
      </c>
      <c r="JRM16" t="s">
        <v>188</v>
      </c>
      <c r="JRN16" t="s">
        <v>188</v>
      </c>
      <c r="JRO16" t="s">
        <v>188</v>
      </c>
      <c r="JRP16" t="s">
        <v>188</v>
      </c>
      <c r="JRQ16" t="s">
        <v>188</v>
      </c>
      <c r="JRR16" t="s">
        <v>188</v>
      </c>
      <c r="JRS16" t="s">
        <v>188</v>
      </c>
      <c r="JRT16" t="s">
        <v>188</v>
      </c>
      <c r="JRU16" t="s">
        <v>188</v>
      </c>
      <c r="JRV16" t="s">
        <v>188</v>
      </c>
      <c r="JRW16" t="s">
        <v>188</v>
      </c>
      <c r="JRX16" t="s">
        <v>188</v>
      </c>
      <c r="JRY16" t="s">
        <v>188</v>
      </c>
      <c r="JRZ16" t="s">
        <v>188</v>
      </c>
      <c r="JSA16" t="s">
        <v>188</v>
      </c>
      <c r="JSB16" t="s">
        <v>188</v>
      </c>
      <c r="JSC16" t="s">
        <v>188</v>
      </c>
      <c r="JSD16" t="s">
        <v>188</v>
      </c>
      <c r="JSE16" t="s">
        <v>188</v>
      </c>
      <c r="JSF16" t="s">
        <v>188</v>
      </c>
      <c r="JSG16" t="s">
        <v>188</v>
      </c>
      <c r="JSH16" t="s">
        <v>188</v>
      </c>
      <c r="JSI16" t="s">
        <v>188</v>
      </c>
      <c r="JSJ16" t="s">
        <v>188</v>
      </c>
      <c r="JSK16" t="s">
        <v>188</v>
      </c>
      <c r="JSL16" t="s">
        <v>188</v>
      </c>
      <c r="JSM16" t="s">
        <v>188</v>
      </c>
      <c r="JSN16" t="s">
        <v>188</v>
      </c>
      <c r="JSO16" t="s">
        <v>188</v>
      </c>
      <c r="JSP16" t="s">
        <v>188</v>
      </c>
      <c r="JSQ16" t="s">
        <v>188</v>
      </c>
      <c r="JSR16" t="s">
        <v>188</v>
      </c>
      <c r="JSS16" t="s">
        <v>188</v>
      </c>
      <c r="JST16" t="s">
        <v>188</v>
      </c>
      <c r="JSU16" t="s">
        <v>188</v>
      </c>
      <c r="JSV16" t="s">
        <v>188</v>
      </c>
      <c r="JSW16" t="s">
        <v>188</v>
      </c>
      <c r="JSX16" t="s">
        <v>188</v>
      </c>
      <c r="JSY16" t="s">
        <v>188</v>
      </c>
      <c r="JSZ16" t="s">
        <v>188</v>
      </c>
      <c r="JTA16" t="s">
        <v>188</v>
      </c>
      <c r="JTB16" t="s">
        <v>188</v>
      </c>
      <c r="JTC16" t="s">
        <v>188</v>
      </c>
      <c r="JTD16" t="s">
        <v>188</v>
      </c>
      <c r="JTE16" t="s">
        <v>188</v>
      </c>
      <c r="JTF16" t="s">
        <v>188</v>
      </c>
      <c r="JTG16" t="s">
        <v>188</v>
      </c>
      <c r="JTH16" t="s">
        <v>188</v>
      </c>
      <c r="JTI16" t="s">
        <v>188</v>
      </c>
      <c r="JTJ16" t="s">
        <v>188</v>
      </c>
      <c r="JTK16" t="s">
        <v>188</v>
      </c>
      <c r="JTL16" t="s">
        <v>188</v>
      </c>
      <c r="JTM16" t="s">
        <v>188</v>
      </c>
      <c r="JTN16" t="s">
        <v>188</v>
      </c>
      <c r="JTO16" t="s">
        <v>188</v>
      </c>
      <c r="JTP16" t="s">
        <v>188</v>
      </c>
      <c r="JTQ16" t="s">
        <v>188</v>
      </c>
      <c r="JTR16" t="s">
        <v>188</v>
      </c>
      <c r="JTS16" t="s">
        <v>188</v>
      </c>
      <c r="JTT16" t="s">
        <v>188</v>
      </c>
      <c r="JTU16" t="s">
        <v>188</v>
      </c>
      <c r="JTV16" t="s">
        <v>188</v>
      </c>
      <c r="JTW16" t="s">
        <v>188</v>
      </c>
      <c r="JTX16" t="s">
        <v>188</v>
      </c>
      <c r="JTY16" t="s">
        <v>188</v>
      </c>
      <c r="JTZ16" t="s">
        <v>188</v>
      </c>
      <c r="JUA16" t="s">
        <v>188</v>
      </c>
      <c r="JUB16" t="s">
        <v>188</v>
      </c>
      <c r="JUC16" t="s">
        <v>188</v>
      </c>
      <c r="JUD16" t="s">
        <v>188</v>
      </c>
      <c r="JUE16" t="s">
        <v>188</v>
      </c>
      <c r="JUF16" t="s">
        <v>188</v>
      </c>
      <c r="JUG16" t="s">
        <v>188</v>
      </c>
      <c r="JUH16" t="s">
        <v>188</v>
      </c>
      <c r="JUI16" t="s">
        <v>188</v>
      </c>
      <c r="JUJ16" t="s">
        <v>188</v>
      </c>
      <c r="JUK16" t="s">
        <v>188</v>
      </c>
      <c r="JUL16" t="s">
        <v>188</v>
      </c>
      <c r="JUM16" t="s">
        <v>188</v>
      </c>
      <c r="JUN16" t="s">
        <v>188</v>
      </c>
      <c r="JUO16" t="s">
        <v>188</v>
      </c>
      <c r="JUP16" t="s">
        <v>188</v>
      </c>
      <c r="JUQ16" t="s">
        <v>188</v>
      </c>
      <c r="JUR16" t="s">
        <v>188</v>
      </c>
      <c r="JUS16" t="s">
        <v>188</v>
      </c>
      <c r="JUT16" t="s">
        <v>188</v>
      </c>
      <c r="JUU16" t="s">
        <v>188</v>
      </c>
      <c r="JUV16" t="s">
        <v>188</v>
      </c>
      <c r="JUW16" t="s">
        <v>188</v>
      </c>
      <c r="JUX16" t="s">
        <v>188</v>
      </c>
      <c r="JUY16" t="s">
        <v>188</v>
      </c>
      <c r="JUZ16" t="s">
        <v>188</v>
      </c>
      <c r="JVA16" t="s">
        <v>188</v>
      </c>
      <c r="JVB16" t="s">
        <v>188</v>
      </c>
      <c r="JVC16" t="s">
        <v>188</v>
      </c>
      <c r="JVD16" t="s">
        <v>188</v>
      </c>
      <c r="JVE16" t="s">
        <v>188</v>
      </c>
      <c r="JVF16" t="s">
        <v>188</v>
      </c>
      <c r="JVG16" t="s">
        <v>188</v>
      </c>
      <c r="JVH16" t="s">
        <v>188</v>
      </c>
      <c r="JVI16" t="s">
        <v>188</v>
      </c>
      <c r="JVJ16" t="s">
        <v>188</v>
      </c>
      <c r="JVK16" t="s">
        <v>188</v>
      </c>
      <c r="JVL16" t="s">
        <v>188</v>
      </c>
      <c r="JVM16" t="s">
        <v>188</v>
      </c>
      <c r="JVN16" t="s">
        <v>188</v>
      </c>
      <c r="JVO16" t="s">
        <v>188</v>
      </c>
      <c r="JVP16" t="s">
        <v>188</v>
      </c>
      <c r="JVQ16" t="s">
        <v>188</v>
      </c>
      <c r="JVR16" t="s">
        <v>188</v>
      </c>
      <c r="JVS16" t="s">
        <v>188</v>
      </c>
      <c r="JVT16" t="s">
        <v>188</v>
      </c>
      <c r="JVU16" t="s">
        <v>188</v>
      </c>
      <c r="JVV16" t="s">
        <v>188</v>
      </c>
      <c r="JVW16" t="s">
        <v>188</v>
      </c>
      <c r="JVX16" t="s">
        <v>188</v>
      </c>
      <c r="JVY16" t="s">
        <v>188</v>
      </c>
      <c r="JVZ16" t="s">
        <v>188</v>
      </c>
      <c r="JWA16" t="s">
        <v>188</v>
      </c>
      <c r="JWB16" t="s">
        <v>188</v>
      </c>
      <c r="JWC16" t="s">
        <v>188</v>
      </c>
      <c r="JWD16" t="s">
        <v>188</v>
      </c>
      <c r="JWE16" t="s">
        <v>188</v>
      </c>
      <c r="JWF16" t="s">
        <v>188</v>
      </c>
      <c r="JWG16" t="s">
        <v>188</v>
      </c>
      <c r="JWH16" t="s">
        <v>188</v>
      </c>
      <c r="JWI16" t="s">
        <v>188</v>
      </c>
      <c r="JWJ16" t="s">
        <v>188</v>
      </c>
      <c r="JWK16" t="s">
        <v>188</v>
      </c>
      <c r="JWL16" t="s">
        <v>188</v>
      </c>
      <c r="JWM16" t="s">
        <v>188</v>
      </c>
      <c r="JWN16" t="s">
        <v>188</v>
      </c>
      <c r="JWO16" t="s">
        <v>188</v>
      </c>
      <c r="JWP16" t="s">
        <v>188</v>
      </c>
      <c r="JWQ16" t="s">
        <v>188</v>
      </c>
      <c r="JWR16" t="s">
        <v>188</v>
      </c>
      <c r="JWS16" t="s">
        <v>188</v>
      </c>
      <c r="JWT16" t="s">
        <v>188</v>
      </c>
      <c r="JWU16" t="s">
        <v>188</v>
      </c>
      <c r="JWV16" t="s">
        <v>188</v>
      </c>
      <c r="JWW16" t="s">
        <v>188</v>
      </c>
      <c r="JWX16" t="s">
        <v>188</v>
      </c>
      <c r="JWY16" t="s">
        <v>188</v>
      </c>
      <c r="JWZ16" t="s">
        <v>188</v>
      </c>
      <c r="JXA16" t="s">
        <v>188</v>
      </c>
      <c r="JXB16" t="s">
        <v>188</v>
      </c>
      <c r="JXC16" t="s">
        <v>188</v>
      </c>
      <c r="JXD16" t="s">
        <v>188</v>
      </c>
      <c r="JXE16" t="s">
        <v>188</v>
      </c>
      <c r="JXF16" t="s">
        <v>188</v>
      </c>
      <c r="JXG16" t="s">
        <v>188</v>
      </c>
      <c r="JXH16" t="s">
        <v>188</v>
      </c>
      <c r="JXI16" t="s">
        <v>188</v>
      </c>
      <c r="JXJ16" t="s">
        <v>188</v>
      </c>
      <c r="JXK16" t="s">
        <v>188</v>
      </c>
      <c r="JXL16" t="s">
        <v>188</v>
      </c>
      <c r="JXM16" t="s">
        <v>188</v>
      </c>
      <c r="JXN16" t="s">
        <v>188</v>
      </c>
      <c r="JXO16" t="s">
        <v>188</v>
      </c>
      <c r="JXP16" t="s">
        <v>188</v>
      </c>
      <c r="JXQ16" t="s">
        <v>188</v>
      </c>
      <c r="JXR16" t="s">
        <v>188</v>
      </c>
      <c r="JXS16" t="s">
        <v>188</v>
      </c>
      <c r="JXT16" t="s">
        <v>188</v>
      </c>
      <c r="JXU16" t="s">
        <v>188</v>
      </c>
      <c r="JXV16" t="s">
        <v>188</v>
      </c>
      <c r="JXW16" t="s">
        <v>188</v>
      </c>
      <c r="JXX16" t="s">
        <v>188</v>
      </c>
      <c r="JXY16" t="s">
        <v>188</v>
      </c>
      <c r="JXZ16" t="s">
        <v>188</v>
      </c>
      <c r="JYA16" t="s">
        <v>188</v>
      </c>
      <c r="JYB16" t="s">
        <v>188</v>
      </c>
      <c r="JYC16" t="s">
        <v>188</v>
      </c>
      <c r="JYD16" t="s">
        <v>188</v>
      </c>
      <c r="JYE16" t="s">
        <v>188</v>
      </c>
      <c r="JYF16" t="s">
        <v>188</v>
      </c>
      <c r="JYG16" t="s">
        <v>188</v>
      </c>
      <c r="JYH16" t="s">
        <v>188</v>
      </c>
      <c r="JYI16" t="s">
        <v>188</v>
      </c>
      <c r="JYJ16" t="s">
        <v>188</v>
      </c>
      <c r="JYK16" t="s">
        <v>188</v>
      </c>
      <c r="JYL16" t="s">
        <v>188</v>
      </c>
      <c r="JYM16" t="s">
        <v>188</v>
      </c>
      <c r="JYN16" t="s">
        <v>188</v>
      </c>
      <c r="JYO16" t="s">
        <v>188</v>
      </c>
      <c r="JYP16" t="s">
        <v>188</v>
      </c>
      <c r="JYQ16" t="s">
        <v>188</v>
      </c>
      <c r="JYR16" t="s">
        <v>188</v>
      </c>
      <c r="JYS16" t="s">
        <v>188</v>
      </c>
      <c r="JYT16" t="s">
        <v>188</v>
      </c>
      <c r="JYU16" t="s">
        <v>188</v>
      </c>
      <c r="JYV16" t="s">
        <v>188</v>
      </c>
      <c r="JYW16" t="s">
        <v>188</v>
      </c>
      <c r="JYX16" t="s">
        <v>188</v>
      </c>
      <c r="JYY16" t="s">
        <v>188</v>
      </c>
      <c r="JYZ16" t="s">
        <v>188</v>
      </c>
      <c r="JZA16" t="s">
        <v>188</v>
      </c>
      <c r="JZB16" t="s">
        <v>188</v>
      </c>
      <c r="JZC16" t="s">
        <v>188</v>
      </c>
      <c r="JZD16" t="s">
        <v>188</v>
      </c>
      <c r="JZE16" t="s">
        <v>188</v>
      </c>
      <c r="JZF16" t="s">
        <v>188</v>
      </c>
      <c r="JZG16" t="s">
        <v>188</v>
      </c>
      <c r="JZH16" t="s">
        <v>188</v>
      </c>
      <c r="JZI16" t="s">
        <v>188</v>
      </c>
      <c r="JZJ16" t="s">
        <v>188</v>
      </c>
      <c r="JZK16" t="s">
        <v>188</v>
      </c>
      <c r="JZL16" t="s">
        <v>188</v>
      </c>
      <c r="JZM16" t="s">
        <v>188</v>
      </c>
      <c r="JZN16" t="s">
        <v>188</v>
      </c>
      <c r="JZO16" t="s">
        <v>188</v>
      </c>
      <c r="JZP16" t="s">
        <v>188</v>
      </c>
      <c r="JZQ16" t="s">
        <v>188</v>
      </c>
      <c r="JZR16" t="s">
        <v>188</v>
      </c>
      <c r="JZS16" t="s">
        <v>188</v>
      </c>
      <c r="JZT16" t="s">
        <v>188</v>
      </c>
      <c r="JZU16" t="s">
        <v>188</v>
      </c>
      <c r="JZV16" t="s">
        <v>188</v>
      </c>
      <c r="JZW16" t="s">
        <v>188</v>
      </c>
      <c r="JZX16" t="s">
        <v>188</v>
      </c>
      <c r="JZY16" t="s">
        <v>188</v>
      </c>
      <c r="JZZ16" t="s">
        <v>188</v>
      </c>
      <c r="KAA16" t="s">
        <v>188</v>
      </c>
      <c r="KAB16" t="s">
        <v>188</v>
      </c>
      <c r="KAC16" t="s">
        <v>188</v>
      </c>
      <c r="KAD16" t="s">
        <v>188</v>
      </c>
      <c r="KAE16" t="s">
        <v>188</v>
      </c>
      <c r="KAF16" t="s">
        <v>188</v>
      </c>
      <c r="KAG16" t="s">
        <v>188</v>
      </c>
      <c r="KAH16" t="s">
        <v>188</v>
      </c>
      <c r="KAI16" t="s">
        <v>188</v>
      </c>
      <c r="KAJ16" t="s">
        <v>188</v>
      </c>
      <c r="KAK16" t="s">
        <v>188</v>
      </c>
      <c r="KAL16" t="s">
        <v>188</v>
      </c>
      <c r="KAM16" t="s">
        <v>188</v>
      </c>
      <c r="KAN16" t="s">
        <v>188</v>
      </c>
      <c r="KAO16" t="s">
        <v>188</v>
      </c>
      <c r="KAP16" t="s">
        <v>188</v>
      </c>
      <c r="KAQ16" t="s">
        <v>188</v>
      </c>
      <c r="KAR16" t="s">
        <v>188</v>
      </c>
      <c r="KAS16" t="s">
        <v>188</v>
      </c>
      <c r="KAT16" t="s">
        <v>188</v>
      </c>
      <c r="KAU16" t="s">
        <v>188</v>
      </c>
      <c r="KAV16" t="s">
        <v>188</v>
      </c>
      <c r="KAW16" t="s">
        <v>188</v>
      </c>
      <c r="KAX16" t="s">
        <v>188</v>
      </c>
      <c r="KAY16" t="s">
        <v>188</v>
      </c>
      <c r="KAZ16" t="s">
        <v>188</v>
      </c>
      <c r="KBA16" t="s">
        <v>188</v>
      </c>
      <c r="KBB16" t="s">
        <v>188</v>
      </c>
      <c r="KBC16" t="s">
        <v>188</v>
      </c>
      <c r="KBD16" t="s">
        <v>188</v>
      </c>
      <c r="KBE16" t="s">
        <v>188</v>
      </c>
      <c r="KBF16" t="s">
        <v>188</v>
      </c>
      <c r="KBG16" t="s">
        <v>188</v>
      </c>
      <c r="KBH16" t="s">
        <v>188</v>
      </c>
      <c r="KBI16" t="s">
        <v>188</v>
      </c>
      <c r="KBJ16" t="s">
        <v>188</v>
      </c>
      <c r="KBK16" t="s">
        <v>188</v>
      </c>
      <c r="KBL16" t="s">
        <v>188</v>
      </c>
      <c r="KBM16" t="s">
        <v>188</v>
      </c>
      <c r="KBN16" t="s">
        <v>188</v>
      </c>
      <c r="KBO16" t="s">
        <v>188</v>
      </c>
      <c r="KBP16" t="s">
        <v>188</v>
      </c>
      <c r="KBQ16" t="s">
        <v>188</v>
      </c>
      <c r="KBR16" t="s">
        <v>188</v>
      </c>
      <c r="KBS16" t="s">
        <v>188</v>
      </c>
      <c r="KBT16" t="s">
        <v>188</v>
      </c>
      <c r="KBU16" t="s">
        <v>188</v>
      </c>
      <c r="KBV16" t="s">
        <v>188</v>
      </c>
      <c r="KBW16" t="s">
        <v>188</v>
      </c>
      <c r="KBX16" t="s">
        <v>188</v>
      </c>
      <c r="KBY16" t="s">
        <v>188</v>
      </c>
      <c r="KBZ16" t="s">
        <v>188</v>
      </c>
      <c r="KCA16" t="s">
        <v>188</v>
      </c>
      <c r="KCB16" t="s">
        <v>188</v>
      </c>
      <c r="KCC16" t="s">
        <v>188</v>
      </c>
      <c r="KCD16" t="s">
        <v>188</v>
      </c>
      <c r="KCE16" t="s">
        <v>188</v>
      </c>
      <c r="KCF16" t="s">
        <v>188</v>
      </c>
      <c r="KCG16" t="s">
        <v>188</v>
      </c>
      <c r="KCH16" t="s">
        <v>188</v>
      </c>
      <c r="KCI16" t="s">
        <v>188</v>
      </c>
      <c r="KCJ16" t="s">
        <v>188</v>
      </c>
      <c r="KCK16" t="s">
        <v>188</v>
      </c>
      <c r="KCL16" t="s">
        <v>188</v>
      </c>
      <c r="KCM16" t="s">
        <v>188</v>
      </c>
      <c r="KCN16" t="s">
        <v>188</v>
      </c>
      <c r="KCO16" t="s">
        <v>188</v>
      </c>
      <c r="KCP16" t="s">
        <v>188</v>
      </c>
      <c r="KCQ16" t="s">
        <v>188</v>
      </c>
      <c r="KCR16" t="s">
        <v>188</v>
      </c>
      <c r="KCS16" t="s">
        <v>188</v>
      </c>
      <c r="KCT16" t="s">
        <v>188</v>
      </c>
      <c r="KCU16" t="s">
        <v>188</v>
      </c>
      <c r="KCV16" t="s">
        <v>188</v>
      </c>
      <c r="KCW16" t="s">
        <v>188</v>
      </c>
      <c r="KCX16" t="s">
        <v>188</v>
      </c>
      <c r="KCY16" t="s">
        <v>188</v>
      </c>
      <c r="KCZ16" t="s">
        <v>188</v>
      </c>
      <c r="KDA16" t="s">
        <v>188</v>
      </c>
      <c r="KDB16" t="s">
        <v>188</v>
      </c>
      <c r="KDC16" t="s">
        <v>188</v>
      </c>
      <c r="KDD16" t="s">
        <v>188</v>
      </c>
      <c r="KDE16" t="s">
        <v>188</v>
      </c>
      <c r="KDF16" t="s">
        <v>188</v>
      </c>
      <c r="KDG16" t="s">
        <v>188</v>
      </c>
      <c r="KDH16" t="s">
        <v>188</v>
      </c>
      <c r="KDI16" t="s">
        <v>188</v>
      </c>
      <c r="KDJ16" t="s">
        <v>188</v>
      </c>
      <c r="KDK16" t="s">
        <v>188</v>
      </c>
      <c r="KDL16" t="s">
        <v>188</v>
      </c>
      <c r="KDM16" t="s">
        <v>188</v>
      </c>
      <c r="KDN16" t="s">
        <v>188</v>
      </c>
      <c r="KDO16" t="s">
        <v>188</v>
      </c>
      <c r="KDP16" t="s">
        <v>188</v>
      </c>
      <c r="KDQ16" t="s">
        <v>188</v>
      </c>
      <c r="KDR16" t="s">
        <v>188</v>
      </c>
      <c r="KDS16" t="s">
        <v>188</v>
      </c>
      <c r="KDT16" t="s">
        <v>188</v>
      </c>
      <c r="KDU16" t="s">
        <v>188</v>
      </c>
      <c r="KDV16" t="s">
        <v>188</v>
      </c>
      <c r="KDW16" t="s">
        <v>188</v>
      </c>
      <c r="KDX16" t="s">
        <v>188</v>
      </c>
      <c r="KDY16" t="s">
        <v>188</v>
      </c>
      <c r="KDZ16" t="s">
        <v>188</v>
      </c>
      <c r="KEA16" t="s">
        <v>188</v>
      </c>
      <c r="KEB16" t="s">
        <v>188</v>
      </c>
      <c r="KEC16" t="s">
        <v>188</v>
      </c>
      <c r="KED16" t="s">
        <v>188</v>
      </c>
      <c r="KEE16" t="s">
        <v>188</v>
      </c>
      <c r="KEF16" t="s">
        <v>188</v>
      </c>
      <c r="KEG16" t="s">
        <v>188</v>
      </c>
      <c r="KEH16" t="s">
        <v>188</v>
      </c>
      <c r="KEI16" t="s">
        <v>188</v>
      </c>
      <c r="KEJ16" t="s">
        <v>188</v>
      </c>
      <c r="KEK16" t="s">
        <v>188</v>
      </c>
      <c r="KEL16" t="s">
        <v>188</v>
      </c>
      <c r="KEM16" t="s">
        <v>188</v>
      </c>
      <c r="KEN16" t="s">
        <v>188</v>
      </c>
      <c r="KEO16" t="s">
        <v>188</v>
      </c>
      <c r="KEP16" t="s">
        <v>188</v>
      </c>
      <c r="KEQ16" t="s">
        <v>188</v>
      </c>
      <c r="KER16" t="s">
        <v>188</v>
      </c>
      <c r="KES16" t="s">
        <v>188</v>
      </c>
      <c r="KET16" t="s">
        <v>188</v>
      </c>
      <c r="KEU16" t="s">
        <v>188</v>
      </c>
      <c r="KEV16" t="s">
        <v>188</v>
      </c>
      <c r="KEW16" t="s">
        <v>188</v>
      </c>
      <c r="KEX16" t="s">
        <v>188</v>
      </c>
      <c r="KEY16" t="s">
        <v>188</v>
      </c>
      <c r="KEZ16" t="s">
        <v>188</v>
      </c>
      <c r="KFA16" t="s">
        <v>188</v>
      </c>
      <c r="KFB16" t="s">
        <v>188</v>
      </c>
      <c r="KFC16" t="s">
        <v>188</v>
      </c>
      <c r="KFD16" t="s">
        <v>188</v>
      </c>
      <c r="KFE16" t="s">
        <v>188</v>
      </c>
      <c r="KFF16" t="s">
        <v>188</v>
      </c>
      <c r="KFG16" t="s">
        <v>188</v>
      </c>
      <c r="KFH16" t="s">
        <v>188</v>
      </c>
      <c r="KFI16" t="s">
        <v>188</v>
      </c>
      <c r="KFJ16" t="s">
        <v>188</v>
      </c>
      <c r="KFK16" t="s">
        <v>188</v>
      </c>
      <c r="KFL16" t="s">
        <v>188</v>
      </c>
      <c r="KFM16" t="s">
        <v>188</v>
      </c>
      <c r="KFN16" t="s">
        <v>188</v>
      </c>
      <c r="KFO16" t="s">
        <v>188</v>
      </c>
      <c r="KFP16" t="s">
        <v>188</v>
      </c>
      <c r="KFQ16" t="s">
        <v>188</v>
      </c>
      <c r="KFR16" t="s">
        <v>188</v>
      </c>
      <c r="KFS16" t="s">
        <v>188</v>
      </c>
      <c r="KFT16" t="s">
        <v>188</v>
      </c>
      <c r="KFU16" t="s">
        <v>188</v>
      </c>
      <c r="KFV16" t="s">
        <v>188</v>
      </c>
      <c r="KFW16" t="s">
        <v>188</v>
      </c>
      <c r="KFX16" t="s">
        <v>188</v>
      </c>
      <c r="KFY16" t="s">
        <v>188</v>
      </c>
      <c r="KFZ16" t="s">
        <v>188</v>
      </c>
      <c r="KGA16" t="s">
        <v>188</v>
      </c>
      <c r="KGB16" t="s">
        <v>188</v>
      </c>
      <c r="KGC16" t="s">
        <v>188</v>
      </c>
      <c r="KGD16" t="s">
        <v>188</v>
      </c>
      <c r="KGE16" t="s">
        <v>188</v>
      </c>
      <c r="KGF16" t="s">
        <v>188</v>
      </c>
      <c r="KGG16" t="s">
        <v>188</v>
      </c>
      <c r="KGH16" t="s">
        <v>188</v>
      </c>
      <c r="KGI16" t="s">
        <v>188</v>
      </c>
      <c r="KGJ16" t="s">
        <v>188</v>
      </c>
      <c r="KGK16" t="s">
        <v>188</v>
      </c>
      <c r="KGL16" t="s">
        <v>188</v>
      </c>
      <c r="KGM16" t="s">
        <v>188</v>
      </c>
      <c r="KGN16" t="s">
        <v>188</v>
      </c>
      <c r="KGO16" t="s">
        <v>188</v>
      </c>
      <c r="KGP16" t="s">
        <v>188</v>
      </c>
      <c r="KGQ16" t="s">
        <v>188</v>
      </c>
      <c r="KGR16" t="s">
        <v>188</v>
      </c>
      <c r="KGS16" t="s">
        <v>188</v>
      </c>
      <c r="KGT16" t="s">
        <v>188</v>
      </c>
      <c r="KGU16" t="s">
        <v>188</v>
      </c>
      <c r="KGV16" t="s">
        <v>188</v>
      </c>
      <c r="KGW16" t="s">
        <v>188</v>
      </c>
      <c r="KGX16" t="s">
        <v>188</v>
      </c>
      <c r="KGY16" t="s">
        <v>188</v>
      </c>
      <c r="KGZ16" t="s">
        <v>188</v>
      </c>
      <c r="KHA16" t="s">
        <v>188</v>
      </c>
      <c r="KHB16" t="s">
        <v>188</v>
      </c>
      <c r="KHC16" t="s">
        <v>188</v>
      </c>
      <c r="KHD16" t="s">
        <v>188</v>
      </c>
      <c r="KHE16" t="s">
        <v>188</v>
      </c>
      <c r="KHF16" t="s">
        <v>188</v>
      </c>
      <c r="KHG16" t="s">
        <v>188</v>
      </c>
      <c r="KHH16" t="s">
        <v>188</v>
      </c>
      <c r="KHI16" t="s">
        <v>188</v>
      </c>
      <c r="KHJ16" t="s">
        <v>188</v>
      </c>
      <c r="KHK16" t="s">
        <v>188</v>
      </c>
      <c r="KHL16" t="s">
        <v>188</v>
      </c>
      <c r="KHM16" t="s">
        <v>188</v>
      </c>
      <c r="KHN16" t="s">
        <v>188</v>
      </c>
      <c r="KHO16" t="s">
        <v>188</v>
      </c>
      <c r="KHP16" t="s">
        <v>188</v>
      </c>
      <c r="KHQ16" t="s">
        <v>188</v>
      </c>
      <c r="KHR16" t="s">
        <v>188</v>
      </c>
      <c r="KHS16" t="s">
        <v>188</v>
      </c>
      <c r="KHT16" t="s">
        <v>188</v>
      </c>
      <c r="KHU16" t="s">
        <v>188</v>
      </c>
      <c r="KHV16" t="s">
        <v>188</v>
      </c>
      <c r="KHW16" t="s">
        <v>188</v>
      </c>
      <c r="KHX16" t="s">
        <v>188</v>
      </c>
      <c r="KHY16" t="s">
        <v>188</v>
      </c>
      <c r="KHZ16" t="s">
        <v>188</v>
      </c>
      <c r="KIA16" t="s">
        <v>188</v>
      </c>
      <c r="KIB16" t="s">
        <v>188</v>
      </c>
      <c r="KIC16" t="s">
        <v>188</v>
      </c>
      <c r="KID16" t="s">
        <v>188</v>
      </c>
      <c r="KIE16" t="s">
        <v>188</v>
      </c>
      <c r="KIF16" t="s">
        <v>188</v>
      </c>
      <c r="KIG16" t="s">
        <v>188</v>
      </c>
      <c r="KIH16" t="s">
        <v>188</v>
      </c>
      <c r="KII16" t="s">
        <v>188</v>
      </c>
      <c r="KIJ16" t="s">
        <v>188</v>
      </c>
      <c r="KIK16" t="s">
        <v>188</v>
      </c>
      <c r="KIL16" t="s">
        <v>188</v>
      </c>
      <c r="KIM16" t="s">
        <v>188</v>
      </c>
      <c r="KIN16" t="s">
        <v>188</v>
      </c>
      <c r="KIO16" t="s">
        <v>188</v>
      </c>
      <c r="KIP16" t="s">
        <v>188</v>
      </c>
      <c r="KIQ16" t="s">
        <v>188</v>
      </c>
      <c r="KIR16" t="s">
        <v>188</v>
      </c>
      <c r="KIS16" t="s">
        <v>188</v>
      </c>
      <c r="KIT16" t="s">
        <v>188</v>
      </c>
      <c r="KIU16" t="s">
        <v>188</v>
      </c>
      <c r="KIV16" t="s">
        <v>188</v>
      </c>
      <c r="KIW16" t="s">
        <v>188</v>
      </c>
      <c r="KIX16" t="s">
        <v>188</v>
      </c>
      <c r="KIY16" t="s">
        <v>188</v>
      </c>
      <c r="KIZ16" t="s">
        <v>188</v>
      </c>
      <c r="KJA16" t="s">
        <v>188</v>
      </c>
      <c r="KJB16" t="s">
        <v>188</v>
      </c>
      <c r="KJC16" t="s">
        <v>188</v>
      </c>
      <c r="KJD16" t="s">
        <v>188</v>
      </c>
      <c r="KJE16" t="s">
        <v>188</v>
      </c>
      <c r="KJF16" t="s">
        <v>188</v>
      </c>
      <c r="KJG16" t="s">
        <v>188</v>
      </c>
      <c r="KJH16" t="s">
        <v>188</v>
      </c>
      <c r="KJI16" t="s">
        <v>188</v>
      </c>
      <c r="KJJ16" t="s">
        <v>188</v>
      </c>
      <c r="KJK16" t="s">
        <v>188</v>
      </c>
      <c r="KJL16" t="s">
        <v>188</v>
      </c>
      <c r="KJM16" t="s">
        <v>188</v>
      </c>
      <c r="KJN16" t="s">
        <v>188</v>
      </c>
      <c r="KJO16" t="s">
        <v>188</v>
      </c>
      <c r="KJP16" t="s">
        <v>188</v>
      </c>
      <c r="KJQ16" t="s">
        <v>188</v>
      </c>
      <c r="KJR16" t="s">
        <v>188</v>
      </c>
      <c r="KJS16" t="s">
        <v>188</v>
      </c>
      <c r="KJT16" t="s">
        <v>188</v>
      </c>
      <c r="KJU16" t="s">
        <v>188</v>
      </c>
      <c r="KJV16" t="s">
        <v>188</v>
      </c>
      <c r="KJW16" t="s">
        <v>188</v>
      </c>
      <c r="KJX16" t="s">
        <v>188</v>
      </c>
      <c r="KJY16" t="s">
        <v>188</v>
      </c>
      <c r="KJZ16" t="s">
        <v>188</v>
      </c>
      <c r="KKA16" t="s">
        <v>188</v>
      </c>
      <c r="KKB16" t="s">
        <v>188</v>
      </c>
      <c r="KKC16" t="s">
        <v>188</v>
      </c>
      <c r="KKD16" t="s">
        <v>188</v>
      </c>
      <c r="KKE16" t="s">
        <v>188</v>
      </c>
      <c r="KKF16" t="s">
        <v>188</v>
      </c>
      <c r="KKG16" t="s">
        <v>188</v>
      </c>
      <c r="KKH16" t="s">
        <v>188</v>
      </c>
      <c r="KKI16" t="s">
        <v>188</v>
      </c>
      <c r="KKJ16" t="s">
        <v>188</v>
      </c>
      <c r="KKK16" t="s">
        <v>188</v>
      </c>
      <c r="KKL16" t="s">
        <v>188</v>
      </c>
      <c r="KKM16" t="s">
        <v>188</v>
      </c>
      <c r="KKN16" t="s">
        <v>188</v>
      </c>
      <c r="KKO16" t="s">
        <v>188</v>
      </c>
      <c r="KKP16" t="s">
        <v>188</v>
      </c>
      <c r="KKQ16" t="s">
        <v>188</v>
      </c>
      <c r="KKR16" t="s">
        <v>188</v>
      </c>
      <c r="KKS16" t="s">
        <v>188</v>
      </c>
      <c r="KKT16" t="s">
        <v>188</v>
      </c>
      <c r="KKU16" t="s">
        <v>188</v>
      </c>
      <c r="KKV16" t="s">
        <v>188</v>
      </c>
      <c r="KKW16" t="s">
        <v>188</v>
      </c>
      <c r="KKX16" t="s">
        <v>188</v>
      </c>
      <c r="KKY16" t="s">
        <v>188</v>
      </c>
      <c r="KKZ16" t="s">
        <v>188</v>
      </c>
      <c r="KLA16" t="s">
        <v>188</v>
      </c>
      <c r="KLB16" t="s">
        <v>188</v>
      </c>
      <c r="KLC16" t="s">
        <v>188</v>
      </c>
      <c r="KLD16" t="s">
        <v>188</v>
      </c>
      <c r="KLE16" t="s">
        <v>188</v>
      </c>
      <c r="KLF16" t="s">
        <v>188</v>
      </c>
      <c r="KLG16" t="s">
        <v>188</v>
      </c>
      <c r="KLH16" t="s">
        <v>188</v>
      </c>
      <c r="KLI16" t="s">
        <v>188</v>
      </c>
      <c r="KLJ16" t="s">
        <v>188</v>
      </c>
      <c r="KLK16" t="s">
        <v>188</v>
      </c>
      <c r="KLL16" t="s">
        <v>188</v>
      </c>
      <c r="KLM16" t="s">
        <v>188</v>
      </c>
      <c r="KLN16" t="s">
        <v>188</v>
      </c>
      <c r="KLO16" t="s">
        <v>188</v>
      </c>
      <c r="KLP16" t="s">
        <v>188</v>
      </c>
      <c r="KLQ16" t="s">
        <v>188</v>
      </c>
      <c r="KLR16" t="s">
        <v>188</v>
      </c>
      <c r="KLS16" t="s">
        <v>188</v>
      </c>
      <c r="KLT16" t="s">
        <v>188</v>
      </c>
      <c r="KLU16" t="s">
        <v>188</v>
      </c>
      <c r="KLV16" t="s">
        <v>188</v>
      </c>
      <c r="KLW16" t="s">
        <v>188</v>
      </c>
      <c r="KLX16" t="s">
        <v>188</v>
      </c>
      <c r="KLY16" t="s">
        <v>188</v>
      </c>
      <c r="KLZ16" t="s">
        <v>188</v>
      </c>
      <c r="KMA16" t="s">
        <v>188</v>
      </c>
      <c r="KMB16" t="s">
        <v>188</v>
      </c>
      <c r="KMC16" t="s">
        <v>188</v>
      </c>
      <c r="KMD16" t="s">
        <v>188</v>
      </c>
      <c r="KME16" t="s">
        <v>188</v>
      </c>
      <c r="KMF16" t="s">
        <v>188</v>
      </c>
      <c r="KMG16" t="s">
        <v>188</v>
      </c>
      <c r="KMH16" t="s">
        <v>188</v>
      </c>
      <c r="KMI16" t="s">
        <v>188</v>
      </c>
      <c r="KMJ16" t="s">
        <v>188</v>
      </c>
      <c r="KMK16" t="s">
        <v>188</v>
      </c>
      <c r="KML16" t="s">
        <v>188</v>
      </c>
      <c r="KMM16" t="s">
        <v>188</v>
      </c>
      <c r="KMN16" t="s">
        <v>188</v>
      </c>
      <c r="KMO16" t="s">
        <v>188</v>
      </c>
      <c r="KMP16" t="s">
        <v>188</v>
      </c>
      <c r="KMQ16" t="s">
        <v>188</v>
      </c>
      <c r="KMR16" t="s">
        <v>188</v>
      </c>
      <c r="KMS16" t="s">
        <v>188</v>
      </c>
      <c r="KMT16" t="s">
        <v>188</v>
      </c>
      <c r="KMU16" t="s">
        <v>188</v>
      </c>
      <c r="KMV16" t="s">
        <v>188</v>
      </c>
      <c r="KMW16" t="s">
        <v>188</v>
      </c>
      <c r="KMX16" t="s">
        <v>188</v>
      </c>
      <c r="KMY16" t="s">
        <v>188</v>
      </c>
      <c r="KMZ16" t="s">
        <v>188</v>
      </c>
      <c r="KNA16" t="s">
        <v>188</v>
      </c>
      <c r="KNB16" t="s">
        <v>188</v>
      </c>
      <c r="KNC16" t="s">
        <v>188</v>
      </c>
      <c r="KND16" t="s">
        <v>188</v>
      </c>
      <c r="KNE16" t="s">
        <v>188</v>
      </c>
      <c r="KNF16" t="s">
        <v>188</v>
      </c>
      <c r="KNG16" t="s">
        <v>188</v>
      </c>
      <c r="KNH16" t="s">
        <v>188</v>
      </c>
      <c r="KNI16" t="s">
        <v>188</v>
      </c>
      <c r="KNJ16" t="s">
        <v>188</v>
      </c>
      <c r="KNK16" t="s">
        <v>188</v>
      </c>
      <c r="KNL16" t="s">
        <v>188</v>
      </c>
      <c r="KNM16" t="s">
        <v>188</v>
      </c>
      <c r="KNN16" t="s">
        <v>188</v>
      </c>
      <c r="KNO16" t="s">
        <v>188</v>
      </c>
      <c r="KNP16" t="s">
        <v>188</v>
      </c>
      <c r="KNQ16" t="s">
        <v>188</v>
      </c>
      <c r="KNR16" t="s">
        <v>188</v>
      </c>
      <c r="KNS16" t="s">
        <v>188</v>
      </c>
      <c r="KNT16" t="s">
        <v>188</v>
      </c>
      <c r="KNU16" t="s">
        <v>188</v>
      </c>
      <c r="KNV16" t="s">
        <v>188</v>
      </c>
      <c r="KNW16" t="s">
        <v>188</v>
      </c>
      <c r="KNX16" t="s">
        <v>188</v>
      </c>
      <c r="KNY16" t="s">
        <v>188</v>
      </c>
      <c r="KNZ16" t="s">
        <v>188</v>
      </c>
      <c r="KOA16" t="s">
        <v>188</v>
      </c>
      <c r="KOB16" t="s">
        <v>188</v>
      </c>
      <c r="KOC16" t="s">
        <v>188</v>
      </c>
      <c r="KOD16" t="s">
        <v>188</v>
      </c>
      <c r="KOE16" t="s">
        <v>188</v>
      </c>
      <c r="KOF16" t="s">
        <v>188</v>
      </c>
      <c r="KOG16" t="s">
        <v>188</v>
      </c>
      <c r="KOH16" t="s">
        <v>188</v>
      </c>
      <c r="KOI16" t="s">
        <v>188</v>
      </c>
      <c r="KOJ16" t="s">
        <v>188</v>
      </c>
      <c r="KOK16" t="s">
        <v>188</v>
      </c>
      <c r="KOL16" t="s">
        <v>188</v>
      </c>
      <c r="KOM16" t="s">
        <v>188</v>
      </c>
      <c r="KON16" t="s">
        <v>188</v>
      </c>
      <c r="KOO16" t="s">
        <v>188</v>
      </c>
      <c r="KOP16" t="s">
        <v>188</v>
      </c>
      <c r="KOQ16" t="s">
        <v>188</v>
      </c>
      <c r="KOR16" t="s">
        <v>188</v>
      </c>
      <c r="KOS16" t="s">
        <v>188</v>
      </c>
      <c r="KOT16" t="s">
        <v>188</v>
      </c>
      <c r="KOU16" t="s">
        <v>188</v>
      </c>
      <c r="KOV16" t="s">
        <v>188</v>
      </c>
      <c r="KOW16" t="s">
        <v>188</v>
      </c>
      <c r="KOX16" t="s">
        <v>188</v>
      </c>
      <c r="KOY16" t="s">
        <v>188</v>
      </c>
      <c r="KOZ16" t="s">
        <v>188</v>
      </c>
      <c r="KPA16" t="s">
        <v>188</v>
      </c>
      <c r="KPB16" t="s">
        <v>188</v>
      </c>
      <c r="KPC16" t="s">
        <v>188</v>
      </c>
      <c r="KPD16" t="s">
        <v>188</v>
      </c>
      <c r="KPE16" t="s">
        <v>188</v>
      </c>
      <c r="KPF16" t="s">
        <v>188</v>
      </c>
      <c r="KPG16" t="s">
        <v>188</v>
      </c>
      <c r="KPH16" t="s">
        <v>188</v>
      </c>
      <c r="KPI16" t="s">
        <v>188</v>
      </c>
      <c r="KPJ16" t="s">
        <v>188</v>
      </c>
      <c r="KPK16" t="s">
        <v>188</v>
      </c>
      <c r="KPL16" t="s">
        <v>188</v>
      </c>
      <c r="KPM16" t="s">
        <v>188</v>
      </c>
      <c r="KPN16" t="s">
        <v>188</v>
      </c>
      <c r="KPO16" t="s">
        <v>188</v>
      </c>
      <c r="KPP16" t="s">
        <v>188</v>
      </c>
      <c r="KPQ16" t="s">
        <v>188</v>
      </c>
      <c r="KPR16" t="s">
        <v>188</v>
      </c>
      <c r="KPS16" t="s">
        <v>188</v>
      </c>
      <c r="KPT16" t="s">
        <v>188</v>
      </c>
      <c r="KPU16" t="s">
        <v>188</v>
      </c>
      <c r="KPV16" t="s">
        <v>188</v>
      </c>
      <c r="KPW16" t="s">
        <v>188</v>
      </c>
      <c r="KPX16" t="s">
        <v>188</v>
      </c>
      <c r="KPY16" t="s">
        <v>188</v>
      </c>
      <c r="KPZ16" t="s">
        <v>188</v>
      </c>
      <c r="KQA16" t="s">
        <v>188</v>
      </c>
      <c r="KQB16" t="s">
        <v>188</v>
      </c>
      <c r="KQC16" t="s">
        <v>188</v>
      </c>
      <c r="KQD16" t="s">
        <v>188</v>
      </c>
      <c r="KQE16" t="s">
        <v>188</v>
      </c>
      <c r="KQF16" t="s">
        <v>188</v>
      </c>
      <c r="KQG16" t="s">
        <v>188</v>
      </c>
      <c r="KQH16" t="s">
        <v>188</v>
      </c>
      <c r="KQI16" t="s">
        <v>188</v>
      </c>
      <c r="KQJ16" t="s">
        <v>188</v>
      </c>
      <c r="KQK16" t="s">
        <v>188</v>
      </c>
      <c r="KQL16" t="s">
        <v>188</v>
      </c>
      <c r="KQM16" t="s">
        <v>188</v>
      </c>
      <c r="KQN16" t="s">
        <v>188</v>
      </c>
      <c r="KQO16" t="s">
        <v>188</v>
      </c>
      <c r="KQP16" t="s">
        <v>188</v>
      </c>
      <c r="KQQ16" t="s">
        <v>188</v>
      </c>
      <c r="KQR16" t="s">
        <v>188</v>
      </c>
      <c r="KQS16" t="s">
        <v>188</v>
      </c>
      <c r="KQT16" t="s">
        <v>188</v>
      </c>
      <c r="KQU16" t="s">
        <v>188</v>
      </c>
      <c r="KQV16" t="s">
        <v>188</v>
      </c>
      <c r="KQW16" t="s">
        <v>188</v>
      </c>
      <c r="KQX16" t="s">
        <v>188</v>
      </c>
      <c r="KQY16" t="s">
        <v>188</v>
      </c>
      <c r="KQZ16" t="s">
        <v>188</v>
      </c>
      <c r="KRA16" t="s">
        <v>188</v>
      </c>
      <c r="KRB16" t="s">
        <v>188</v>
      </c>
      <c r="KRC16" t="s">
        <v>188</v>
      </c>
      <c r="KRD16" t="s">
        <v>188</v>
      </c>
      <c r="KRE16" t="s">
        <v>188</v>
      </c>
      <c r="KRF16" t="s">
        <v>188</v>
      </c>
      <c r="KRG16" t="s">
        <v>188</v>
      </c>
      <c r="KRH16" t="s">
        <v>188</v>
      </c>
      <c r="KRI16" t="s">
        <v>188</v>
      </c>
      <c r="KRJ16" t="s">
        <v>188</v>
      </c>
      <c r="KRK16" t="s">
        <v>188</v>
      </c>
      <c r="KRL16" t="s">
        <v>188</v>
      </c>
      <c r="KRM16" t="s">
        <v>188</v>
      </c>
      <c r="KRN16" t="s">
        <v>188</v>
      </c>
      <c r="KRO16" t="s">
        <v>188</v>
      </c>
      <c r="KRP16" t="s">
        <v>188</v>
      </c>
      <c r="KRQ16" t="s">
        <v>188</v>
      </c>
      <c r="KRR16" t="s">
        <v>188</v>
      </c>
      <c r="KRS16" t="s">
        <v>188</v>
      </c>
      <c r="KRT16" t="s">
        <v>188</v>
      </c>
      <c r="KRU16" t="s">
        <v>188</v>
      </c>
      <c r="KRV16" t="s">
        <v>188</v>
      </c>
      <c r="KRW16" t="s">
        <v>188</v>
      </c>
      <c r="KRX16" t="s">
        <v>188</v>
      </c>
      <c r="KRY16" t="s">
        <v>188</v>
      </c>
      <c r="KRZ16" t="s">
        <v>188</v>
      </c>
      <c r="KSA16" t="s">
        <v>188</v>
      </c>
      <c r="KSB16" t="s">
        <v>188</v>
      </c>
      <c r="KSC16" t="s">
        <v>188</v>
      </c>
      <c r="KSD16" t="s">
        <v>188</v>
      </c>
      <c r="KSE16" t="s">
        <v>188</v>
      </c>
      <c r="KSF16" t="s">
        <v>188</v>
      </c>
      <c r="KSG16" t="s">
        <v>188</v>
      </c>
      <c r="KSH16" t="s">
        <v>188</v>
      </c>
      <c r="KSI16" t="s">
        <v>188</v>
      </c>
      <c r="KSJ16" t="s">
        <v>188</v>
      </c>
      <c r="KSK16" t="s">
        <v>188</v>
      </c>
      <c r="KSL16" t="s">
        <v>188</v>
      </c>
      <c r="KSM16" t="s">
        <v>188</v>
      </c>
      <c r="KSN16" t="s">
        <v>188</v>
      </c>
      <c r="KSO16" t="s">
        <v>188</v>
      </c>
      <c r="KSP16" t="s">
        <v>188</v>
      </c>
      <c r="KSQ16" t="s">
        <v>188</v>
      </c>
      <c r="KSR16" t="s">
        <v>188</v>
      </c>
      <c r="KSS16" t="s">
        <v>188</v>
      </c>
      <c r="KST16" t="s">
        <v>188</v>
      </c>
      <c r="KSU16" t="s">
        <v>188</v>
      </c>
      <c r="KSV16" t="s">
        <v>188</v>
      </c>
      <c r="KSW16" t="s">
        <v>188</v>
      </c>
      <c r="KSX16" t="s">
        <v>188</v>
      </c>
      <c r="KSY16" t="s">
        <v>188</v>
      </c>
      <c r="KSZ16" t="s">
        <v>188</v>
      </c>
      <c r="KTA16" t="s">
        <v>188</v>
      </c>
      <c r="KTB16" t="s">
        <v>188</v>
      </c>
      <c r="KTC16" t="s">
        <v>188</v>
      </c>
      <c r="KTD16" t="s">
        <v>188</v>
      </c>
      <c r="KTE16" t="s">
        <v>188</v>
      </c>
      <c r="KTF16" t="s">
        <v>188</v>
      </c>
      <c r="KTG16" t="s">
        <v>188</v>
      </c>
      <c r="KTH16" t="s">
        <v>188</v>
      </c>
      <c r="KTI16" t="s">
        <v>188</v>
      </c>
      <c r="KTJ16" t="s">
        <v>188</v>
      </c>
      <c r="KTK16" t="s">
        <v>188</v>
      </c>
      <c r="KTL16" t="s">
        <v>188</v>
      </c>
      <c r="KTM16" t="s">
        <v>188</v>
      </c>
      <c r="KTN16" t="s">
        <v>188</v>
      </c>
      <c r="KTO16" t="s">
        <v>188</v>
      </c>
      <c r="KTP16" t="s">
        <v>188</v>
      </c>
      <c r="KTQ16" t="s">
        <v>188</v>
      </c>
      <c r="KTR16" t="s">
        <v>188</v>
      </c>
      <c r="KTS16" t="s">
        <v>188</v>
      </c>
      <c r="KTT16" t="s">
        <v>188</v>
      </c>
      <c r="KTU16" t="s">
        <v>188</v>
      </c>
      <c r="KTV16" t="s">
        <v>188</v>
      </c>
      <c r="KTW16" t="s">
        <v>188</v>
      </c>
      <c r="KTX16" t="s">
        <v>188</v>
      </c>
      <c r="KTY16" t="s">
        <v>188</v>
      </c>
      <c r="KTZ16" t="s">
        <v>188</v>
      </c>
      <c r="KUA16" t="s">
        <v>188</v>
      </c>
      <c r="KUB16" t="s">
        <v>188</v>
      </c>
      <c r="KUC16" t="s">
        <v>188</v>
      </c>
      <c r="KUD16" t="s">
        <v>188</v>
      </c>
      <c r="KUE16" t="s">
        <v>188</v>
      </c>
      <c r="KUF16" t="s">
        <v>188</v>
      </c>
      <c r="KUG16" t="s">
        <v>188</v>
      </c>
      <c r="KUH16" t="s">
        <v>188</v>
      </c>
      <c r="KUI16" t="s">
        <v>188</v>
      </c>
      <c r="KUJ16" t="s">
        <v>188</v>
      </c>
      <c r="KUK16" t="s">
        <v>188</v>
      </c>
      <c r="KUL16" t="s">
        <v>188</v>
      </c>
      <c r="KUM16" t="s">
        <v>188</v>
      </c>
      <c r="KUN16" t="s">
        <v>188</v>
      </c>
      <c r="KUO16" t="s">
        <v>188</v>
      </c>
      <c r="KUP16" t="s">
        <v>188</v>
      </c>
      <c r="KUQ16" t="s">
        <v>188</v>
      </c>
      <c r="KUR16" t="s">
        <v>188</v>
      </c>
      <c r="KUS16" t="s">
        <v>188</v>
      </c>
      <c r="KUT16" t="s">
        <v>188</v>
      </c>
      <c r="KUU16" t="s">
        <v>188</v>
      </c>
      <c r="KUV16" t="s">
        <v>188</v>
      </c>
      <c r="KUW16" t="s">
        <v>188</v>
      </c>
      <c r="KUX16" t="s">
        <v>188</v>
      </c>
      <c r="KUY16" t="s">
        <v>188</v>
      </c>
      <c r="KUZ16" t="s">
        <v>188</v>
      </c>
      <c r="KVA16" t="s">
        <v>188</v>
      </c>
      <c r="KVB16" t="s">
        <v>188</v>
      </c>
      <c r="KVC16" t="s">
        <v>188</v>
      </c>
      <c r="KVD16" t="s">
        <v>188</v>
      </c>
      <c r="KVE16" t="s">
        <v>188</v>
      </c>
      <c r="KVF16" t="s">
        <v>188</v>
      </c>
      <c r="KVG16" t="s">
        <v>188</v>
      </c>
      <c r="KVH16" t="s">
        <v>188</v>
      </c>
      <c r="KVI16" t="s">
        <v>188</v>
      </c>
      <c r="KVJ16" t="s">
        <v>188</v>
      </c>
      <c r="KVK16" t="s">
        <v>188</v>
      </c>
      <c r="KVL16" t="s">
        <v>188</v>
      </c>
      <c r="KVM16" t="s">
        <v>188</v>
      </c>
      <c r="KVN16" t="s">
        <v>188</v>
      </c>
      <c r="KVO16" t="s">
        <v>188</v>
      </c>
      <c r="KVP16" t="s">
        <v>188</v>
      </c>
      <c r="KVQ16" t="s">
        <v>188</v>
      </c>
      <c r="KVR16" t="s">
        <v>188</v>
      </c>
      <c r="KVS16" t="s">
        <v>188</v>
      </c>
      <c r="KVT16" t="s">
        <v>188</v>
      </c>
      <c r="KVU16" t="s">
        <v>188</v>
      </c>
      <c r="KVV16" t="s">
        <v>188</v>
      </c>
      <c r="KVW16" t="s">
        <v>188</v>
      </c>
      <c r="KVX16" t="s">
        <v>188</v>
      </c>
      <c r="KVY16" t="s">
        <v>188</v>
      </c>
      <c r="KVZ16" t="s">
        <v>188</v>
      </c>
      <c r="KWA16" t="s">
        <v>188</v>
      </c>
      <c r="KWB16" t="s">
        <v>188</v>
      </c>
      <c r="KWC16" t="s">
        <v>188</v>
      </c>
      <c r="KWD16" t="s">
        <v>188</v>
      </c>
      <c r="KWE16" t="s">
        <v>188</v>
      </c>
      <c r="KWF16" t="s">
        <v>188</v>
      </c>
      <c r="KWG16" t="s">
        <v>188</v>
      </c>
      <c r="KWH16" t="s">
        <v>188</v>
      </c>
      <c r="KWI16" t="s">
        <v>188</v>
      </c>
      <c r="KWJ16" t="s">
        <v>188</v>
      </c>
      <c r="KWK16" t="s">
        <v>188</v>
      </c>
      <c r="KWL16" t="s">
        <v>188</v>
      </c>
      <c r="KWM16" t="s">
        <v>188</v>
      </c>
      <c r="KWN16" t="s">
        <v>188</v>
      </c>
      <c r="KWO16" t="s">
        <v>188</v>
      </c>
      <c r="KWP16" t="s">
        <v>188</v>
      </c>
      <c r="KWQ16" t="s">
        <v>188</v>
      </c>
      <c r="KWR16" t="s">
        <v>188</v>
      </c>
      <c r="KWS16" t="s">
        <v>188</v>
      </c>
      <c r="KWT16" t="s">
        <v>188</v>
      </c>
      <c r="KWU16" t="s">
        <v>188</v>
      </c>
      <c r="KWV16" t="s">
        <v>188</v>
      </c>
      <c r="KWW16" t="s">
        <v>188</v>
      </c>
      <c r="KWX16" t="s">
        <v>188</v>
      </c>
      <c r="KWY16" t="s">
        <v>188</v>
      </c>
      <c r="KWZ16" t="s">
        <v>188</v>
      </c>
      <c r="KXA16" t="s">
        <v>188</v>
      </c>
      <c r="KXB16" t="s">
        <v>188</v>
      </c>
      <c r="KXC16" t="s">
        <v>188</v>
      </c>
      <c r="KXD16" t="s">
        <v>188</v>
      </c>
      <c r="KXE16" t="s">
        <v>188</v>
      </c>
      <c r="KXF16" t="s">
        <v>188</v>
      </c>
      <c r="KXG16" t="s">
        <v>188</v>
      </c>
      <c r="KXH16" t="s">
        <v>188</v>
      </c>
      <c r="KXI16" t="s">
        <v>188</v>
      </c>
      <c r="KXJ16" t="s">
        <v>188</v>
      </c>
      <c r="KXK16" t="s">
        <v>188</v>
      </c>
      <c r="KXL16" t="s">
        <v>188</v>
      </c>
      <c r="KXM16" t="s">
        <v>188</v>
      </c>
      <c r="KXN16" t="s">
        <v>188</v>
      </c>
      <c r="KXO16" t="s">
        <v>188</v>
      </c>
      <c r="KXP16" t="s">
        <v>188</v>
      </c>
      <c r="KXQ16" t="s">
        <v>188</v>
      </c>
      <c r="KXR16" t="s">
        <v>188</v>
      </c>
      <c r="KXS16" t="s">
        <v>188</v>
      </c>
      <c r="KXT16" t="s">
        <v>188</v>
      </c>
      <c r="KXU16" t="s">
        <v>188</v>
      </c>
      <c r="KXV16" t="s">
        <v>188</v>
      </c>
      <c r="KXW16" t="s">
        <v>188</v>
      </c>
      <c r="KXX16" t="s">
        <v>188</v>
      </c>
      <c r="KXY16" t="s">
        <v>188</v>
      </c>
      <c r="KXZ16" t="s">
        <v>188</v>
      </c>
      <c r="KYA16" t="s">
        <v>188</v>
      </c>
      <c r="KYB16" t="s">
        <v>188</v>
      </c>
      <c r="KYC16" t="s">
        <v>188</v>
      </c>
      <c r="KYD16" t="s">
        <v>188</v>
      </c>
      <c r="KYE16" t="s">
        <v>188</v>
      </c>
      <c r="KYF16" t="s">
        <v>188</v>
      </c>
      <c r="KYG16" t="s">
        <v>188</v>
      </c>
      <c r="KYH16" t="s">
        <v>188</v>
      </c>
      <c r="KYI16" t="s">
        <v>188</v>
      </c>
      <c r="KYJ16" t="s">
        <v>188</v>
      </c>
      <c r="KYK16" t="s">
        <v>188</v>
      </c>
      <c r="KYL16" t="s">
        <v>188</v>
      </c>
      <c r="KYM16" t="s">
        <v>188</v>
      </c>
      <c r="KYN16" t="s">
        <v>188</v>
      </c>
      <c r="KYO16" t="s">
        <v>188</v>
      </c>
      <c r="KYP16" t="s">
        <v>188</v>
      </c>
      <c r="KYQ16" t="s">
        <v>188</v>
      </c>
      <c r="KYR16" t="s">
        <v>188</v>
      </c>
      <c r="KYS16" t="s">
        <v>188</v>
      </c>
      <c r="KYT16" t="s">
        <v>188</v>
      </c>
      <c r="KYU16" t="s">
        <v>188</v>
      </c>
      <c r="KYV16" t="s">
        <v>188</v>
      </c>
      <c r="KYW16" t="s">
        <v>188</v>
      </c>
      <c r="KYX16" t="s">
        <v>188</v>
      </c>
      <c r="KYY16" t="s">
        <v>188</v>
      </c>
      <c r="KYZ16" t="s">
        <v>188</v>
      </c>
      <c r="KZA16" t="s">
        <v>188</v>
      </c>
      <c r="KZB16" t="s">
        <v>188</v>
      </c>
      <c r="KZC16" t="s">
        <v>188</v>
      </c>
      <c r="KZD16" t="s">
        <v>188</v>
      </c>
      <c r="KZE16" t="s">
        <v>188</v>
      </c>
      <c r="KZF16" t="s">
        <v>188</v>
      </c>
      <c r="KZG16" t="s">
        <v>188</v>
      </c>
      <c r="KZH16" t="s">
        <v>188</v>
      </c>
      <c r="KZI16" t="s">
        <v>188</v>
      </c>
      <c r="KZJ16" t="s">
        <v>188</v>
      </c>
      <c r="KZK16" t="s">
        <v>188</v>
      </c>
      <c r="KZL16" t="s">
        <v>188</v>
      </c>
      <c r="KZM16" t="s">
        <v>188</v>
      </c>
      <c r="KZN16" t="s">
        <v>188</v>
      </c>
      <c r="KZO16" t="s">
        <v>188</v>
      </c>
      <c r="KZP16" t="s">
        <v>188</v>
      </c>
      <c r="KZQ16" t="s">
        <v>188</v>
      </c>
      <c r="KZR16" t="s">
        <v>188</v>
      </c>
      <c r="KZS16" t="s">
        <v>188</v>
      </c>
      <c r="KZT16" t="s">
        <v>188</v>
      </c>
      <c r="KZU16" t="s">
        <v>188</v>
      </c>
      <c r="KZV16" t="s">
        <v>188</v>
      </c>
      <c r="KZW16" t="s">
        <v>188</v>
      </c>
      <c r="KZX16" t="s">
        <v>188</v>
      </c>
      <c r="KZY16" t="s">
        <v>188</v>
      </c>
      <c r="KZZ16" t="s">
        <v>188</v>
      </c>
      <c r="LAA16" t="s">
        <v>188</v>
      </c>
      <c r="LAB16" t="s">
        <v>188</v>
      </c>
      <c r="LAC16" t="s">
        <v>188</v>
      </c>
      <c r="LAD16" t="s">
        <v>188</v>
      </c>
      <c r="LAE16" t="s">
        <v>188</v>
      </c>
      <c r="LAF16" t="s">
        <v>188</v>
      </c>
      <c r="LAG16" t="s">
        <v>188</v>
      </c>
      <c r="LAH16" t="s">
        <v>188</v>
      </c>
      <c r="LAI16" t="s">
        <v>188</v>
      </c>
      <c r="LAJ16" t="s">
        <v>188</v>
      </c>
      <c r="LAK16" t="s">
        <v>188</v>
      </c>
      <c r="LAL16" t="s">
        <v>188</v>
      </c>
      <c r="LAM16" t="s">
        <v>188</v>
      </c>
      <c r="LAN16" t="s">
        <v>188</v>
      </c>
      <c r="LAO16" t="s">
        <v>188</v>
      </c>
      <c r="LAP16" t="s">
        <v>188</v>
      </c>
      <c r="LAQ16" t="s">
        <v>188</v>
      </c>
      <c r="LAR16" t="s">
        <v>188</v>
      </c>
      <c r="LAS16" t="s">
        <v>188</v>
      </c>
      <c r="LAT16" t="s">
        <v>188</v>
      </c>
      <c r="LAU16" t="s">
        <v>188</v>
      </c>
      <c r="LAV16" t="s">
        <v>188</v>
      </c>
      <c r="LAW16" t="s">
        <v>188</v>
      </c>
      <c r="LAX16" t="s">
        <v>188</v>
      </c>
      <c r="LAY16" t="s">
        <v>188</v>
      </c>
      <c r="LAZ16" t="s">
        <v>188</v>
      </c>
      <c r="LBA16" t="s">
        <v>188</v>
      </c>
      <c r="LBB16" t="s">
        <v>188</v>
      </c>
      <c r="LBC16" t="s">
        <v>188</v>
      </c>
      <c r="LBD16" t="s">
        <v>188</v>
      </c>
      <c r="LBE16" t="s">
        <v>188</v>
      </c>
      <c r="LBF16" t="s">
        <v>188</v>
      </c>
      <c r="LBG16" t="s">
        <v>188</v>
      </c>
      <c r="LBH16" t="s">
        <v>188</v>
      </c>
      <c r="LBI16" t="s">
        <v>188</v>
      </c>
      <c r="LBJ16" t="s">
        <v>188</v>
      </c>
      <c r="LBK16" t="s">
        <v>188</v>
      </c>
      <c r="LBL16" t="s">
        <v>188</v>
      </c>
      <c r="LBM16" t="s">
        <v>188</v>
      </c>
      <c r="LBN16" t="s">
        <v>188</v>
      </c>
      <c r="LBO16" t="s">
        <v>188</v>
      </c>
      <c r="LBP16" t="s">
        <v>188</v>
      </c>
      <c r="LBQ16" t="s">
        <v>188</v>
      </c>
      <c r="LBR16" t="s">
        <v>188</v>
      </c>
      <c r="LBS16" t="s">
        <v>188</v>
      </c>
      <c r="LBT16" t="s">
        <v>188</v>
      </c>
      <c r="LBU16" t="s">
        <v>188</v>
      </c>
      <c r="LBV16" t="s">
        <v>188</v>
      </c>
      <c r="LBW16" t="s">
        <v>188</v>
      </c>
      <c r="LBX16" t="s">
        <v>188</v>
      </c>
      <c r="LBY16" t="s">
        <v>188</v>
      </c>
      <c r="LBZ16" t="s">
        <v>188</v>
      </c>
      <c r="LCA16" t="s">
        <v>188</v>
      </c>
      <c r="LCB16" t="s">
        <v>188</v>
      </c>
      <c r="LCC16" t="s">
        <v>188</v>
      </c>
      <c r="LCD16" t="s">
        <v>188</v>
      </c>
      <c r="LCE16" t="s">
        <v>188</v>
      </c>
      <c r="LCF16" t="s">
        <v>188</v>
      </c>
      <c r="LCG16" t="s">
        <v>188</v>
      </c>
      <c r="LCH16" t="s">
        <v>188</v>
      </c>
      <c r="LCI16" t="s">
        <v>188</v>
      </c>
      <c r="LCJ16" t="s">
        <v>188</v>
      </c>
      <c r="LCK16" t="s">
        <v>188</v>
      </c>
      <c r="LCL16" t="s">
        <v>188</v>
      </c>
      <c r="LCM16" t="s">
        <v>188</v>
      </c>
      <c r="LCN16" t="s">
        <v>188</v>
      </c>
      <c r="LCO16" t="s">
        <v>188</v>
      </c>
      <c r="LCP16" t="s">
        <v>188</v>
      </c>
      <c r="LCQ16" t="s">
        <v>188</v>
      </c>
      <c r="LCR16" t="s">
        <v>188</v>
      </c>
      <c r="LCS16" t="s">
        <v>188</v>
      </c>
      <c r="LCT16" t="s">
        <v>188</v>
      </c>
      <c r="LCU16" t="s">
        <v>188</v>
      </c>
      <c r="LCV16" t="s">
        <v>188</v>
      </c>
      <c r="LCW16" t="s">
        <v>188</v>
      </c>
      <c r="LCX16" t="s">
        <v>188</v>
      </c>
      <c r="LCY16" t="s">
        <v>188</v>
      </c>
      <c r="LCZ16" t="s">
        <v>188</v>
      </c>
      <c r="LDA16" t="s">
        <v>188</v>
      </c>
      <c r="LDB16" t="s">
        <v>188</v>
      </c>
      <c r="LDC16" t="s">
        <v>188</v>
      </c>
      <c r="LDD16" t="s">
        <v>188</v>
      </c>
      <c r="LDE16" t="s">
        <v>188</v>
      </c>
      <c r="LDF16" t="s">
        <v>188</v>
      </c>
      <c r="LDG16" t="s">
        <v>188</v>
      </c>
      <c r="LDH16" t="s">
        <v>188</v>
      </c>
      <c r="LDI16" t="s">
        <v>188</v>
      </c>
      <c r="LDJ16" t="s">
        <v>188</v>
      </c>
      <c r="LDK16" t="s">
        <v>188</v>
      </c>
      <c r="LDL16" t="s">
        <v>188</v>
      </c>
      <c r="LDM16" t="s">
        <v>188</v>
      </c>
      <c r="LDN16" t="s">
        <v>188</v>
      </c>
      <c r="LDO16" t="s">
        <v>188</v>
      </c>
      <c r="LDP16" t="s">
        <v>188</v>
      </c>
      <c r="LDQ16" t="s">
        <v>188</v>
      </c>
      <c r="LDR16" t="s">
        <v>188</v>
      </c>
      <c r="LDS16" t="s">
        <v>188</v>
      </c>
      <c r="LDT16" t="s">
        <v>188</v>
      </c>
      <c r="LDU16" t="s">
        <v>188</v>
      </c>
      <c r="LDV16" t="s">
        <v>188</v>
      </c>
      <c r="LDW16" t="s">
        <v>188</v>
      </c>
      <c r="LDX16" t="s">
        <v>188</v>
      </c>
      <c r="LDY16" t="s">
        <v>188</v>
      </c>
      <c r="LDZ16" t="s">
        <v>188</v>
      </c>
      <c r="LEA16" t="s">
        <v>188</v>
      </c>
      <c r="LEB16" t="s">
        <v>188</v>
      </c>
      <c r="LEC16" t="s">
        <v>188</v>
      </c>
      <c r="LED16" t="s">
        <v>188</v>
      </c>
      <c r="LEE16" t="s">
        <v>188</v>
      </c>
      <c r="LEF16" t="s">
        <v>188</v>
      </c>
      <c r="LEG16" t="s">
        <v>188</v>
      </c>
      <c r="LEH16" t="s">
        <v>188</v>
      </c>
      <c r="LEI16" t="s">
        <v>188</v>
      </c>
      <c r="LEJ16" t="s">
        <v>188</v>
      </c>
      <c r="LEK16" t="s">
        <v>188</v>
      </c>
      <c r="LEL16" t="s">
        <v>188</v>
      </c>
      <c r="LEM16" t="s">
        <v>188</v>
      </c>
      <c r="LEN16" t="s">
        <v>188</v>
      </c>
      <c r="LEO16" t="s">
        <v>188</v>
      </c>
      <c r="LEP16" t="s">
        <v>188</v>
      </c>
      <c r="LEQ16" t="s">
        <v>188</v>
      </c>
      <c r="LER16" t="s">
        <v>188</v>
      </c>
      <c r="LES16" t="s">
        <v>188</v>
      </c>
      <c r="LET16" t="s">
        <v>188</v>
      </c>
      <c r="LEU16" t="s">
        <v>188</v>
      </c>
      <c r="LEV16" t="s">
        <v>188</v>
      </c>
      <c r="LEW16" t="s">
        <v>188</v>
      </c>
      <c r="LEX16" t="s">
        <v>188</v>
      </c>
      <c r="LEY16" t="s">
        <v>188</v>
      </c>
      <c r="LEZ16" t="s">
        <v>188</v>
      </c>
      <c r="LFA16" t="s">
        <v>188</v>
      </c>
      <c r="LFB16" t="s">
        <v>188</v>
      </c>
      <c r="LFC16" t="s">
        <v>188</v>
      </c>
      <c r="LFD16" t="s">
        <v>188</v>
      </c>
      <c r="LFE16" t="s">
        <v>188</v>
      </c>
      <c r="LFF16" t="s">
        <v>188</v>
      </c>
      <c r="LFG16" t="s">
        <v>188</v>
      </c>
      <c r="LFH16" t="s">
        <v>188</v>
      </c>
      <c r="LFI16" t="s">
        <v>188</v>
      </c>
      <c r="LFJ16" t="s">
        <v>188</v>
      </c>
      <c r="LFK16" t="s">
        <v>188</v>
      </c>
      <c r="LFL16" t="s">
        <v>188</v>
      </c>
      <c r="LFM16" t="s">
        <v>188</v>
      </c>
      <c r="LFN16" t="s">
        <v>188</v>
      </c>
      <c r="LFO16" t="s">
        <v>188</v>
      </c>
      <c r="LFP16" t="s">
        <v>188</v>
      </c>
      <c r="LFQ16" t="s">
        <v>188</v>
      </c>
      <c r="LFR16" t="s">
        <v>188</v>
      </c>
      <c r="LFS16" t="s">
        <v>188</v>
      </c>
      <c r="LFT16" t="s">
        <v>188</v>
      </c>
      <c r="LFU16" t="s">
        <v>188</v>
      </c>
      <c r="LFV16" t="s">
        <v>188</v>
      </c>
      <c r="LFW16" t="s">
        <v>188</v>
      </c>
      <c r="LFX16" t="s">
        <v>188</v>
      </c>
      <c r="LFY16" t="s">
        <v>188</v>
      </c>
      <c r="LFZ16" t="s">
        <v>188</v>
      </c>
      <c r="LGA16" t="s">
        <v>188</v>
      </c>
      <c r="LGB16" t="s">
        <v>188</v>
      </c>
      <c r="LGC16" t="s">
        <v>188</v>
      </c>
      <c r="LGD16" t="s">
        <v>188</v>
      </c>
      <c r="LGE16" t="s">
        <v>188</v>
      </c>
      <c r="LGF16" t="s">
        <v>188</v>
      </c>
      <c r="LGG16" t="s">
        <v>188</v>
      </c>
      <c r="LGH16" t="s">
        <v>188</v>
      </c>
      <c r="LGI16" t="s">
        <v>188</v>
      </c>
      <c r="LGJ16" t="s">
        <v>188</v>
      </c>
      <c r="LGK16" t="s">
        <v>188</v>
      </c>
      <c r="LGL16" t="s">
        <v>188</v>
      </c>
      <c r="LGM16" t="s">
        <v>188</v>
      </c>
      <c r="LGN16" t="s">
        <v>188</v>
      </c>
      <c r="LGO16" t="s">
        <v>188</v>
      </c>
      <c r="LGP16" t="s">
        <v>188</v>
      </c>
      <c r="LGQ16" t="s">
        <v>188</v>
      </c>
      <c r="LGR16" t="s">
        <v>188</v>
      </c>
      <c r="LGS16" t="s">
        <v>188</v>
      </c>
      <c r="LGT16" t="s">
        <v>188</v>
      </c>
      <c r="LGU16" t="s">
        <v>188</v>
      </c>
      <c r="LGV16" t="s">
        <v>188</v>
      </c>
      <c r="LGW16" t="s">
        <v>188</v>
      </c>
      <c r="LGX16" t="s">
        <v>188</v>
      </c>
      <c r="LGY16" t="s">
        <v>188</v>
      </c>
      <c r="LGZ16" t="s">
        <v>188</v>
      </c>
      <c r="LHA16" t="s">
        <v>188</v>
      </c>
      <c r="LHB16" t="s">
        <v>188</v>
      </c>
      <c r="LHC16" t="s">
        <v>188</v>
      </c>
      <c r="LHD16" t="s">
        <v>188</v>
      </c>
      <c r="LHE16" t="s">
        <v>188</v>
      </c>
      <c r="LHF16" t="s">
        <v>188</v>
      </c>
      <c r="LHG16" t="s">
        <v>188</v>
      </c>
      <c r="LHH16" t="s">
        <v>188</v>
      </c>
      <c r="LHI16" t="s">
        <v>188</v>
      </c>
      <c r="LHJ16" t="s">
        <v>188</v>
      </c>
      <c r="LHK16" t="s">
        <v>188</v>
      </c>
      <c r="LHL16" t="s">
        <v>188</v>
      </c>
      <c r="LHM16" t="s">
        <v>188</v>
      </c>
      <c r="LHN16" t="s">
        <v>188</v>
      </c>
      <c r="LHO16" t="s">
        <v>188</v>
      </c>
      <c r="LHP16" t="s">
        <v>188</v>
      </c>
      <c r="LHQ16" t="s">
        <v>188</v>
      </c>
      <c r="LHR16" t="s">
        <v>188</v>
      </c>
      <c r="LHS16" t="s">
        <v>188</v>
      </c>
      <c r="LHT16" t="s">
        <v>188</v>
      </c>
      <c r="LHU16" t="s">
        <v>188</v>
      </c>
      <c r="LHV16" t="s">
        <v>188</v>
      </c>
      <c r="LHW16" t="s">
        <v>188</v>
      </c>
      <c r="LHX16" t="s">
        <v>188</v>
      </c>
      <c r="LHY16" t="s">
        <v>188</v>
      </c>
      <c r="LHZ16" t="s">
        <v>188</v>
      </c>
      <c r="LIA16" t="s">
        <v>188</v>
      </c>
      <c r="LIB16" t="s">
        <v>188</v>
      </c>
      <c r="LIC16" t="s">
        <v>188</v>
      </c>
      <c r="LID16" t="s">
        <v>188</v>
      </c>
      <c r="LIE16" t="s">
        <v>188</v>
      </c>
      <c r="LIF16" t="s">
        <v>188</v>
      </c>
      <c r="LIG16" t="s">
        <v>188</v>
      </c>
      <c r="LIH16" t="s">
        <v>188</v>
      </c>
      <c r="LII16" t="s">
        <v>188</v>
      </c>
      <c r="LIJ16" t="s">
        <v>188</v>
      </c>
      <c r="LIK16" t="s">
        <v>188</v>
      </c>
      <c r="LIL16" t="s">
        <v>188</v>
      </c>
      <c r="LIM16" t="s">
        <v>188</v>
      </c>
      <c r="LIN16" t="s">
        <v>188</v>
      </c>
      <c r="LIO16" t="s">
        <v>188</v>
      </c>
      <c r="LIP16" t="s">
        <v>188</v>
      </c>
      <c r="LIQ16" t="s">
        <v>188</v>
      </c>
      <c r="LIR16" t="s">
        <v>188</v>
      </c>
      <c r="LIS16" t="s">
        <v>188</v>
      </c>
      <c r="LIT16" t="s">
        <v>188</v>
      </c>
      <c r="LIU16" t="s">
        <v>188</v>
      </c>
      <c r="LIV16" t="s">
        <v>188</v>
      </c>
      <c r="LIW16" t="s">
        <v>188</v>
      </c>
      <c r="LIX16" t="s">
        <v>188</v>
      </c>
      <c r="LIY16" t="s">
        <v>188</v>
      </c>
      <c r="LIZ16" t="s">
        <v>188</v>
      </c>
      <c r="LJA16" t="s">
        <v>188</v>
      </c>
      <c r="LJB16" t="s">
        <v>188</v>
      </c>
      <c r="LJC16" t="s">
        <v>188</v>
      </c>
      <c r="LJD16" t="s">
        <v>188</v>
      </c>
      <c r="LJE16" t="s">
        <v>188</v>
      </c>
      <c r="LJF16" t="s">
        <v>188</v>
      </c>
      <c r="LJG16" t="s">
        <v>188</v>
      </c>
      <c r="LJH16" t="s">
        <v>188</v>
      </c>
      <c r="LJI16" t="s">
        <v>188</v>
      </c>
      <c r="LJJ16" t="s">
        <v>188</v>
      </c>
      <c r="LJK16" t="s">
        <v>188</v>
      </c>
      <c r="LJL16" t="s">
        <v>188</v>
      </c>
      <c r="LJM16" t="s">
        <v>188</v>
      </c>
      <c r="LJN16" t="s">
        <v>188</v>
      </c>
      <c r="LJO16" t="s">
        <v>188</v>
      </c>
      <c r="LJP16" t="s">
        <v>188</v>
      </c>
      <c r="LJQ16" t="s">
        <v>188</v>
      </c>
      <c r="LJR16" t="s">
        <v>188</v>
      </c>
      <c r="LJS16" t="s">
        <v>188</v>
      </c>
      <c r="LJT16" t="s">
        <v>188</v>
      </c>
      <c r="LJU16" t="s">
        <v>188</v>
      </c>
      <c r="LJV16" t="s">
        <v>188</v>
      </c>
      <c r="LJW16" t="s">
        <v>188</v>
      </c>
      <c r="LJX16" t="s">
        <v>188</v>
      </c>
      <c r="LJY16" t="s">
        <v>188</v>
      </c>
      <c r="LJZ16" t="s">
        <v>188</v>
      </c>
      <c r="LKA16" t="s">
        <v>188</v>
      </c>
      <c r="LKB16" t="s">
        <v>188</v>
      </c>
      <c r="LKC16" t="s">
        <v>188</v>
      </c>
      <c r="LKD16" t="s">
        <v>188</v>
      </c>
      <c r="LKE16" t="s">
        <v>188</v>
      </c>
      <c r="LKF16" t="s">
        <v>188</v>
      </c>
      <c r="LKG16" t="s">
        <v>188</v>
      </c>
      <c r="LKH16" t="s">
        <v>188</v>
      </c>
      <c r="LKI16" t="s">
        <v>188</v>
      </c>
      <c r="LKJ16" t="s">
        <v>188</v>
      </c>
      <c r="LKK16" t="s">
        <v>188</v>
      </c>
      <c r="LKL16" t="s">
        <v>188</v>
      </c>
      <c r="LKM16" t="s">
        <v>188</v>
      </c>
      <c r="LKN16" t="s">
        <v>188</v>
      </c>
      <c r="LKO16" t="s">
        <v>188</v>
      </c>
      <c r="LKP16" t="s">
        <v>188</v>
      </c>
      <c r="LKQ16" t="s">
        <v>188</v>
      </c>
      <c r="LKR16" t="s">
        <v>188</v>
      </c>
      <c r="LKS16" t="s">
        <v>188</v>
      </c>
      <c r="LKT16" t="s">
        <v>188</v>
      </c>
      <c r="LKU16" t="s">
        <v>188</v>
      </c>
      <c r="LKV16" t="s">
        <v>188</v>
      </c>
      <c r="LKW16" t="s">
        <v>188</v>
      </c>
      <c r="LKX16" t="s">
        <v>188</v>
      </c>
      <c r="LKY16" t="s">
        <v>188</v>
      </c>
      <c r="LKZ16" t="s">
        <v>188</v>
      </c>
      <c r="LLA16" t="s">
        <v>188</v>
      </c>
      <c r="LLB16" t="s">
        <v>188</v>
      </c>
      <c r="LLC16" t="s">
        <v>188</v>
      </c>
      <c r="LLD16" t="s">
        <v>188</v>
      </c>
      <c r="LLE16" t="s">
        <v>188</v>
      </c>
      <c r="LLF16" t="s">
        <v>188</v>
      </c>
      <c r="LLG16" t="s">
        <v>188</v>
      </c>
      <c r="LLH16" t="s">
        <v>188</v>
      </c>
      <c r="LLI16" t="s">
        <v>188</v>
      </c>
      <c r="LLJ16" t="s">
        <v>188</v>
      </c>
      <c r="LLK16" t="s">
        <v>188</v>
      </c>
      <c r="LLL16" t="s">
        <v>188</v>
      </c>
      <c r="LLM16" t="s">
        <v>188</v>
      </c>
      <c r="LLN16" t="s">
        <v>188</v>
      </c>
      <c r="LLO16" t="s">
        <v>188</v>
      </c>
      <c r="LLP16" t="s">
        <v>188</v>
      </c>
      <c r="LLQ16" t="s">
        <v>188</v>
      </c>
      <c r="LLR16" t="s">
        <v>188</v>
      </c>
      <c r="LLS16" t="s">
        <v>188</v>
      </c>
      <c r="LLT16" t="s">
        <v>188</v>
      </c>
      <c r="LLU16" t="s">
        <v>188</v>
      </c>
      <c r="LLV16" t="s">
        <v>188</v>
      </c>
      <c r="LLW16" t="s">
        <v>188</v>
      </c>
      <c r="LLX16" t="s">
        <v>188</v>
      </c>
      <c r="LLY16" t="s">
        <v>188</v>
      </c>
      <c r="LLZ16" t="s">
        <v>188</v>
      </c>
      <c r="LMA16" t="s">
        <v>188</v>
      </c>
      <c r="LMB16" t="s">
        <v>188</v>
      </c>
      <c r="LMC16" t="s">
        <v>188</v>
      </c>
      <c r="LMD16" t="s">
        <v>188</v>
      </c>
      <c r="LME16" t="s">
        <v>188</v>
      </c>
      <c r="LMF16" t="s">
        <v>188</v>
      </c>
      <c r="LMG16" t="s">
        <v>188</v>
      </c>
      <c r="LMH16" t="s">
        <v>188</v>
      </c>
      <c r="LMI16" t="s">
        <v>188</v>
      </c>
      <c r="LMJ16" t="s">
        <v>188</v>
      </c>
      <c r="LMK16" t="s">
        <v>188</v>
      </c>
      <c r="LML16" t="s">
        <v>188</v>
      </c>
      <c r="LMM16" t="s">
        <v>188</v>
      </c>
      <c r="LMN16" t="s">
        <v>188</v>
      </c>
      <c r="LMO16" t="s">
        <v>188</v>
      </c>
      <c r="LMP16" t="s">
        <v>188</v>
      </c>
      <c r="LMQ16" t="s">
        <v>188</v>
      </c>
      <c r="LMR16" t="s">
        <v>188</v>
      </c>
      <c r="LMS16" t="s">
        <v>188</v>
      </c>
      <c r="LMT16" t="s">
        <v>188</v>
      </c>
      <c r="LMU16" t="s">
        <v>188</v>
      </c>
      <c r="LMV16" t="s">
        <v>188</v>
      </c>
      <c r="LMW16" t="s">
        <v>188</v>
      </c>
      <c r="LMX16" t="s">
        <v>188</v>
      </c>
      <c r="LMY16" t="s">
        <v>188</v>
      </c>
      <c r="LMZ16" t="s">
        <v>188</v>
      </c>
      <c r="LNA16" t="s">
        <v>188</v>
      </c>
      <c r="LNB16" t="s">
        <v>188</v>
      </c>
      <c r="LNC16" t="s">
        <v>188</v>
      </c>
      <c r="LND16" t="s">
        <v>188</v>
      </c>
      <c r="LNE16" t="s">
        <v>188</v>
      </c>
      <c r="LNF16" t="s">
        <v>188</v>
      </c>
      <c r="LNG16" t="s">
        <v>188</v>
      </c>
      <c r="LNH16" t="s">
        <v>188</v>
      </c>
      <c r="LNI16" t="s">
        <v>188</v>
      </c>
      <c r="LNJ16" t="s">
        <v>188</v>
      </c>
      <c r="LNK16" t="s">
        <v>188</v>
      </c>
      <c r="LNL16" t="s">
        <v>188</v>
      </c>
      <c r="LNM16" t="s">
        <v>188</v>
      </c>
      <c r="LNN16" t="s">
        <v>188</v>
      </c>
      <c r="LNO16" t="s">
        <v>188</v>
      </c>
      <c r="LNP16" t="s">
        <v>188</v>
      </c>
      <c r="LNQ16" t="s">
        <v>188</v>
      </c>
      <c r="LNR16" t="s">
        <v>188</v>
      </c>
      <c r="LNS16" t="s">
        <v>188</v>
      </c>
      <c r="LNT16" t="s">
        <v>188</v>
      </c>
      <c r="LNU16" t="s">
        <v>188</v>
      </c>
      <c r="LNV16" t="s">
        <v>188</v>
      </c>
      <c r="LNW16" t="s">
        <v>188</v>
      </c>
      <c r="LNX16" t="s">
        <v>188</v>
      </c>
      <c r="LNY16" t="s">
        <v>188</v>
      </c>
      <c r="LNZ16" t="s">
        <v>188</v>
      </c>
      <c r="LOA16" t="s">
        <v>188</v>
      </c>
      <c r="LOB16" t="s">
        <v>188</v>
      </c>
      <c r="LOC16" t="s">
        <v>188</v>
      </c>
      <c r="LOD16" t="s">
        <v>188</v>
      </c>
      <c r="LOE16" t="s">
        <v>188</v>
      </c>
      <c r="LOF16" t="s">
        <v>188</v>
      </c>
      <c r="LOG16" t="s">
        <v>188</v>
      </c>
      <c r="LOH16" t="s">
        <v>188</v>
      </c>
      <c r="LOI16" t="s">
        <v>188</v>
      </c>
      <c r="LOJ16" t="s">
        <v>188</v>
      </c>
      <c r="LOK16" t="s">
        <v>188</v>
      </c>
      <c r="LOL16" t="s">
        <v>188</v>
      </c>
      <c r="LOM16" t="s">
        <v>188</v>
      </c>
      <c r="LON16" t="s">
        <v>188</v>
      </c>
      <c r="LOO16" t="s">
        <v>188</v>
      </c>
      <c r="LOP16" t="s">
        <v>188</v>
      </c>
      <c r="LOQ16" t="s">
        <v>188</v>
      </c>
      <c r="LOR16" t="s">
        <v>188</v>
      </c>
      <c r="LOS16" t="s">
        <v>188</v>
      </c>
      <c r="LOT16" t="s">
        <v>188</v>
      </c>
      <c r="LOU16" t="s">
        <v>188</v>
      </c>
      <c r="LOV16" t="s">
        <v>188</v>
      </c>
      <c r="LOW16" t="s">
        <v>188</v>
      </c>
      <c r="LOX16" t="s">
        <v>188</v>
      </c>
      <c r="LOY16" t="s">
        <v>188</v>
      </c>
      <c r="LOZ16" t="s">
        <v>188</v>
      </c>
      <c r="LPA16" t="s">
        <v>188</v>
      </c>
      <c r="LPB16" t="s">
        <v>188</v>
      </c>
      <c r="LPC16" t="s">
        <v>188</v>
      </c>
      <c r="LPD16" t="s">
        <v>188</v>
      </c>
      <c r="LPE16" t="s">
        <v>188</v>
      </c>
      <c r="LPF16" t="s">
        <v>188</v>
      </c>
      <c r="LPG16" t="s">
        <v>188</v>
      </c>
      <c r="LPH16" t="s">
        <v>188</v>
      </c>
      <c r="LPI16" t="s">
        <v>188</v>
      </c>
      <c r="LPJ16" t="s">
        <v>188</v>
      </c>
      <c r="LPK16" t="s">
        <v>188</v>
      </c>
      <c r="LPL16" t="s">
        <v>188</v>
      </c>
      <c r="LPM16" t="s">
        <v>188</v>
      </c>
      <c r="LPN16" t="s">
        <v>188</v>
      </c>
      <c r="LPO16" t="s">
        <v>188</v>
      </c>
      <c r="LPP16" t="s">
        <v>188</v>
      </c>
      <c r="LPQ16" t="s">
        <v>188</v>
      </c>
      <c r="LPR16" t="s">
        <v>188</v>
      </c>
      <c r="LPS16" t="s">
        <v>188</v>
      </c>
      <c r="LPT16" t="s">
        <v>188</v>
      </c>
      <c r="LPU16" t="s">
        <v>188</v>
      </c>
      <c r="LPV16" t="s">
        <v>188</v>
      </c>
      <c r="LPW16" t="s">
        <v>188</v>
      </c>
      <c r="LPX16" t="s">
        <v>188</v>
      </c>
      <c r="LPY16" t="s">
        <v>188</v>
      </c>
      <c r="LPZ16" t="s">
        <v>188</v>
      </c>
      <c r="LQA16" t="s">
        <v>188</v>
      </c>
      <c r="LQB16" t="s">
        <v>188</v>
      </c>
      <c r="LQC16" t="s">
        <v>188</v>
      </c>
      <c r="LQD16" t="s">
        <v>188</v>
      </c>
      <c r="LQE16" t="s">
        <v>188</v>
      </c>
      <c r="LQF16" t="s">
        <v>188</v>
      </c>
      <c r="LQG16" t="s">
        <v>188</v>
      </c>
      <c r="LQH16" t="s">
        <v>188</v>
      </c>
      <c r="LQI16" t="s">
        <v>188</v>
      </c>
      <c r="LQJ16" t="s">
        <v>188</v>
      </c>
      <c r="LQK16" t="s">
        <v>188</v>
      </c>
      <c r="LQL16" t="s">
        <v>188</v>
      </c>
      <c r="LQM16" t="s">
        <v>188</v>
      </c>
      <c r="LQN16" t="s">
        <v>188</v>
      </c>
      <c r="LQO16" t="s">
        <v>188</v>
      </c>
      <c r="LQP16" t="s">
        <v>188</v>
      </c>
      <c r="LQQ16" t="s">
        <v>188</v>
      </c>
      <c r="LQR16" t="s">
        <v>188</v>
      </c>
      <c r="LQS16" t="s">
        <v>188</v>
      </c>
      <c r="LQT16" t="s">
        <v>188</v>
      </c>
      <c r="LQU16" t="s">
        <v>188</v>
      </c>
      <c r="LQV16" t="s">
        <v>188</v>
      </c>
      <c r="LQW16" t="s">
        <v>188</v>
      </c>
      <c r="LQX16" t="s">
        <v>188</v>
      </c>
      <c r="LQY16" t="s">
        <v>188</v>
      </c>
      <c r="LQZ16" t="s">
        <v>188</v>
      </c>
      <c r="LRA16" t="s">
        <v>188</v>
      </c>
      <c r="LRB16" t="s">
        <v>188</v>
      </c>
      <c r="LRC16" t="s">
        <v>188</v>
      </c>
      <c r="LRD16" t="s">
        <v>188</v>
      </c>
      <c r="LRE16" t="s">
        <v>188</v>
      </c>
      <c r="LRF16" t="s">
        <v>188</v>
      </c>
      <c r="LRG16" t="s">
        <v>188</v>
      </c>
      <c r="LRH16" t="s">
        <v>188</v>
      </c>
      <c r="LRI16" t="s">
        <v>188</v>
      </c>
      <c r="LRJ16" t="s">
        <v>188</v>
      </c>
      <c r="LRK16" t="s">
        <v>188</v>
      </c>
      <c r="LRL16" t="s">
        <v>188</v>
      </c>
      <c r="LRM16" t="s">
        <v>188</v>
      </c>
      <c r="LRN16" t="s">
        <v>188</v>
      </c>
      <c r="LRO16" t="s">
        <v>188</v>
      </c>
      <c r="LRP16" t="s">
        <v>188</v>
      </c>
      <c r="LRQ16" t="s">
        <v>188</v>
      </c>
      <c r="LRR16" t="s">
        <v>188</v>
      </c>
      <c r="LRS16" t="s">
        <v>188</v>
      </c>
      <c r="LRT16" t="s">
        <v>188</v>
      </c>
      <c r="LRU16" t="s">
        <v>188</v>
      </c>
      <c r="LRV16" t="s">
        <v>188</v>
      </c>
      <c r="LRW16" t="s">
        <v>188</v>
      </c>
      <c r="LRX16" t="s">
        <v>188</v>
      </c>
      <c r="LRY16" t="s">
        <v>188</v>
      </c>
      <c r="LRZ16" t="s">
        <v>188</v>
      </c>
      <c r="LSA16" t="s">
        <v>188</v>
      </c>
      <c r="LSB16" t="s">
        <v>188</v>
      </c>
      <c r="LSC16" t="s">
        <v>188</v>
      </c>
      <c r="LSD16" t="s">
        <v>188</v>
      </c>
      <c r="LSE16" t="s">
        <v>188</v>
      </c>
      <c r="LSF16" t="s">
        <v>188</v>
      </c>
      <c r="LSG16" t="s">
        <v>188</v>
      </c>
      <c r="LSH16" t="s">
        <v>188</v>
      </c>
      <c r="LSI16" t="s">
        <v>188</v>
      </c>
      <c r="LSJ16" t="s">
        <v>188</v>
      </c>
      <c r="LSK16" t="s">
        <v>188</v>
      </c>
      <c r="LSL16" t="s">
        <v>188</v>
      </c>
      <c r="LSM16" t="s">
        <v>188</v>
      </c>
      <c r="LSN16" t="s">
        <v>188</v>
      </c>
      <c r="LSO16" t="s">
        <v>188</v>
      </c>
      <c r="LSP16" t="s">
        <v>188</v>
      </c>
      <c r="LSQ16" t="s">
        <v>188</v>
      </c>
      <c r="LSR16" t="s">
        <v>188</v>
      </c>
      <c r="LSS16" t="s">
        <v>188</v>
      </c>
      <c r="LST16" t="s">
        <v>188</v>
      </c>
      <c r="LSU16" t="s">
        <v>188</v>
      </c>
      <c r="LSV16" t="s">
        <v>188</v>
      </c>
      <c r="LSW16" t="s">
        <v>188</v>
      </c>
      <c r="LSX16" t="s">
        <v>188</v>
      </c>
      <c r="LSY16" t="s">
        <v>188</v>
      </c>
      <c r="LSZ16" t="s">
        <v>188</v>
      </c>
      <c r="LTA16" t="s">
        <v>188</v>
      </c>
      <c r="LTB16" t="s">
        <v>188</v>
      </c>
      <c r="LTC16" t="s">
        <v>188</v>
      </c>
      <c r="LTD16" t="s">
        <v>188</v>
      </c>
      <c r="LTE16" t="s">
        <v>188</v>
      </c>
      <c r="LTF16" t="s">
        <v>188</v>
      </c>
      <c r="LTG16" t="s">
        <v>188</v>
      </c>
      <c r="LTH16" t="s">
        <v>188</v>
      </c>
      <c r="LTI16" t="s">
        <v>188</v>
      </c>
      <c r="LTJ16" t="s">
        <v>188</v>
      </c>
      <c r="LTK16" t="s">
        <v>188</v>
      </c>
      <c r="LTL16" t="s">
        <v>188</v>
      </c>
      <c r="LTM16" t="s">
        <v>188</v>
      </c>
      <c r="LTN16" t="s">
        <v>188</v>
      </c>
      <c r="LTO16" t="s">
        <v>188</v>
      </c>
      <c r="LTP16" t="s">
        <v>188</v>
      </c>
      <c r="LTQ16" t="s">
        <v>188</v>
      </c>
      <c r="LTR16" t="s">
        <v>188</v>
      </c>
      <c r="LTS16" t="s">
        <v>188</v>
      </c>
      <c r="LTT16" t="s">
        <v>188</v>
      </c>
      <c r="LTU16" t="s">
        <v>188</v>
      </c>
      <c r="LTV16" t="s">
        <v>188</v>
      </c>
      <c r="LTW16" t="s">
        <v>188</v>
      </c>
      <c r="LTX16" t="s">
        <v>188</v>
      </c>
      <c r="LTY16" t="s">
        <v>188</v>
      </c>
      <c r="LTZ16" t="s">
        <v>188</v>
      </c>
      <c r="LUA16" t="s">
        <v>188</v>
      </c>
      <c r="LUB16" t="s">
        <v>188</v>
      </c>
      <c r="LUC16" t="s">
        <v>188</v>
      </c>
      <c r="LUD16" t="s">
        <v>188</v>
      </c>
      <c r="LUE16" t="s">
        <v>188</v>
      </c>
      <c r="LUF16" t="s">
        <v>188</v>
      </c>
      <c r="LUG16" t="s">
        <v>188</v>
      </c>
      <c r="LUH16" t="s">
        <v>188</v>
      </c>
      <c r="LUI16" t="s">
        <v>188</v>
      </c>
      <c r="LUJ16" t="s">
        <v>188</v>
      </c>
      <c r="LUK16" t="s">
        <v>188</v>
      </c>
      <c r="LUL16" t="s">
        <v>188</v>
      </c>
      <c r="LUM16" t="s">
        <v>188</v>
      </c>
      <c r="LUN16" t="s">
        <v>188</v>
      </c>
      <c r="LUO16" t="s">
        <v>188</v>
      </c>
      <c r="LUP16" t="s">
        <v>188</v>
      </c>
      <c r="LUQ16" t="s">
        <v>188</v>
      </c>
      <c r="LUR16" t="s">
        <v>188</v>
      </c>
      <c r="LUS16" t="s">
        <v>188</v>
      </c>
      <c r="LUT16" t="s">
        <v>188</v>
      </c>
      <c r="LUU16" t="s">
        <v>188</v>
      </c>
      <c r="LUV16" t="s">
        <v>188</v>
      </c>
      <c r="LUW16" t="s">
        <v>188</v>
      </c>
      <c r="LUX16" t="s">
        <v>188</v>
      </c>
      <c r="LUY16" t="s">
        <v>188</v>
      </c>
      <c r="LUZ16" t="s">
        <v>188</v>
      </c>
      <c r="LVA16" t="s">
        <v>188</v>
      </c>
      <c r="LVB16" t="s">
        <v>188</v>
      </c>
      <c r="LVC16" t="s">
        <v>188</v>
      </c>
      <c r="LVD16" t="s">
        <v>188</v>
      </c>
      <c r="LVE16" t="s">
        <v>188</v>
      </c>
      <c r="LVF16" t="s">
        <v>188</v>
      </c>
      <c r="LVG16" t="s">
        <v>188</v>
      </c>
      <c r="LVH16" t="s">
        <v>188</v>
      </c>
      <c r="LVI16" t="s">
        <v>188</v>
      </c>
      <c r="LVJ16" t="s">
        <v>188</v>
      </c>
      <c r="LVK16" t="s">
        <v>188</v>
      </c>
      <c r="LVL16" t="s">
        <v>188</v>
      </c>
      <c r="LVM16" t="s">
        <v>188</v>
      </c>
      <c r="LVN16" t="s">
        <v>188</v>
      </c>
      <c r="LVO16" t="s">
        <v>188</v>
      </c>
      <c r="LVP16" t="s">
        <v>188</v>
      </c>
      <c r="LVQ16" t="s">
        <v>188</v>
      </c>
      <c r="LVR16" t="s">
        <v>188</v>
      </c>
      <c r="LVS16" t="s">
        <v>188</v>
      </c>
      <c r="LVT16" t="s">
        <v>188</v>
      </c>
      <c r="LVU16" t="s">
        <v>188</v>
      </c>
      <c r="LVV16" t="s">
        <v>188</v>
      </c>
      <c r="LVW16" t="s">
        <v>188</v>
      </c>
      <c r="LVX16" t="s">
        <v>188</v>
      </c>
      <c r="LVY16" t="s">
        <v>188</v>
      </c>
      <c r="LVZ16" t="s">
        <v>188</v>
      </c>
      <c r="LWA16" t="s">
        <v>188</v>
      </c>
      <c r="LWB16" t="s">
        <v>188</v>
      </c>
      <c r="LWC16" t="s">
        <v>188</v>
      </c>
      <c r="LWD16" t="s">
        <v>188</v>
      </c>
      <c r="LWE16" t="s">
        <v>188</v>
      </c>
      <c r="LWF16" t="s">
        <v>188</v>
      </c>
      <c r="LWG16" t="s">
        <v>188</v>
      </c>
      <c r="LWH16" t="s">
        <v>188</v>
      </c>
      <c r="LWI16" t="s">
        <v>188</v>
      </c>
      <c r="LWJ16" t="s">
        <v>188</v>
      </c>
      <c r="LWK16" t="s">
        <v>188</v>
      </c>
      <c r="LWL16" t="s">
        <v>188</v>
      </c>
      <c r="LWM16" t="s">
        <v>188</v>
      </c>
      <c r="LWN16" t="s">
        <v>188</v>
      </c>
      <c r="LWO16" t="s">
        <v>188</v>
      </c>
      <c r="LWP16" t="s">
        <v>188</v>
      </c>
      <c r="LWQ16" t="s">
        <v>188</v>
      </c>
      <c r="LWR16" t="s">
        <v>188</v>
      </c>
      <c r="LWS16" t="s">
        <v>188</v>
      </c>
      <c r="LWT16" t="s">
        <v>188</v>
      </c>
      <c r="LWU16" t="s">
        <v>188</v>
      </c>
      <c r="LWV16" t="s">
        <v>188</v>
      </c>
      <c r="LWW16" t="s">
        <v>188</v>
      </c>
      <c r="LWX16" t="s">
        <v>188</v>
      </c>
      <c r="LWY16" t="s">
        <v>188</v>
      </c>
      <c r="LWZ16" t="s">
        <v>188</v>
      </c>
      <c r="LXA16" t="s">
        <v>188</v>
      </c>
      <c r="LXB16" t="s">
        <v>188</v>
      </c>
      <c r="LXC16" t="s">
        <v>188</v>
      </c>
      <c r="LXD16" t="s">
        <v>188</v>
      </c>
      <c r="LXE16" t="s">
        <v>188</v>
      </c>
      <c r="LXF16" t="s">
        <v>188</v>
      </c>
      <c r="LXG16" t="s">
        <v>188</v>
      </c>
      <c r="LXH16" t="s">
        <v>188</v>
      </c>
      <c r="LXI16" t="s">
        <v>188</v>
      </c>
      <c r="LXJ16" t="s">
        <v>188</v>
      </c>
      <c r="LXK16" t="s">
        <v>188</v>
      </c>
      <c r="LXL16" t="s">
        <v>188</v>
      </c>
      <c r="LXM16" t="s">
        <v>188</v>
      </c>
      <c r="LXN16" t="s">
        <v>188</v>
      </c>
      <c r="LXO16" t="s">
        <v>188</v>
      </c>
      <c r="LXP16" t="s">
        <v>188</v>
      </c>
      <c r="LXQ16" t="s">
        <v>188</v>
      </c>
      <c r="LXR16" t="s">
        <v>188</v>
      </c>
      <c r="LXS16" t="s">
        <v>188</v>
      </c>
      <c r="LXT16" t="s">
        <v>188</v>
      </c>
      <c r="LXU16" t="s">
        <v>188</v>
      </c>
      <c r="LXV16" t="s">
        <v>188</v>
      </c>
      <c r="LXW16" t="s">
        <v>188</v>
      </c>
      <c r="LXX16" t="s">
        <v>188</v>
      </c>
      <c r="LXY16" t="s">
        <v>188</v>
      </c>
      <c r="LXZ16" t="s">
        <v>188</v>
      </c>
      <c r="LYA16" t="s">
        <v>188</v>
      </c>
      <c r="LYB16" t="s">
        <v>188</v>
      </c>
      <c r="LYC16" t="s">
        <v>188</v>
      </c>
      <c r="LYD16" t="s">
        <v>188</v>
      </c>
      <c r="LYE16" t="s">
        <v>188</v>
      </c>
      <c r="LYF16" t="s">
        <v>188</v>
      </c>
      <c r="LYG16" t="s">
        <v>188</v>
      </c>
      <c r="LYH16" t="s">
        <v>188</v>
      </c>
      <c r="LYI16" t="s">
        <v>188</v>
      </c>
      <c r="LYJ16" t="s">
        <v>188</v>
      </c>
      <c r="LYK16" t="s">
        <v>188</v>
      </c>
      <c r="LYL16" t="s">
        <v>188</v>
      </c>
      <c r="LYM16" t="s">
        <v>188</v>
      </c>
      <c r="LYN16" t="s">
        <v>188</v>
      </c>
      <c r="LYO16" t="s">
        <v>188</v>
      </c>
      <c r="LYP16" t="s">
        <v>188</v>
      </c>
      <c r="LYQ16" t="s">
        <v>188</v>
      </c>
      <c r="LYR16" t="s">
        <v>188</v>
      </c>
      <c r="LYS16" t="s">
        <v>188</v>
      </c>
      <c r="LYT16" t="s">
        <v>188</v>
      </c>
      <c r="LYU16" t="s">
        <v>188</v>
      </c>
      <c r="LYV16" t="s">
        <v>188</v>
      </c>
      <c r="LYW16" t="s">
        <v>188</v>
      </c>
      <c r="LYX16" t="s">
        <v>188</v>
      </c>
      <c r="LYY16" t="s">
        <v>188</v>
      </c>
      <c r="LYZ16" t="s">
        <v>188</v>
      </c>
      <c r="LZA16" t="s">
        <v>188</v>
      </c>
      <c r="LZB16" t="s">
        <v>188</v>
      </c>
      <c r="LZC16" t="s">
        <v>188</v>
      </c>
      <c r="LZD16" t="s">
        <v>188</v>
      </c>
      <c r="LZE16" t="s">
        <v>188</v>
      </c>
      <c r="LZF16" t="s">
        <v>188</v>
      </c>
      <c r="LZG16" t="s">
        <v>188</v>
      </c>
      <c r="LZH16" t="s">
        <v>188</v>
      </c>
      <c r="LZI16" t="s">
        <v>188</v>
      </c>
      <c r="LZJ16" t="s">
        <v>188</v>
      </c>
      <c r="LZK16" t="s">
        <v>188</v>
      </c>
      <c r="LZL16" t="s">
        <v>188</v>
      </c>
      <c r="LZM16" t="s">
        <v>188</v>
      </c>
      <c r="LZN16" t="s">
        <v>188</v>
      </c>
      <c r="LZO16" t="s">
        <v>188</v>
      </c>
      <c r="LZP16" t="s">
        <v>188</v>
      </c>
      <c r="LZQ16" t="s">
        <v>188</v>
      </c>
      <c r="LZR16" t="s">
        <v>188</v>
      </c>
      <c r="LZS16" t="s">
        <v>188</v>
      </c>
      <c r="LZT16" t="s">
        <v>188</v>
      </c>
      <c r="LZU16" t="s">
        <v>188</v>
      </c>
      <c r="LZV16" t="s">
        <v>188</v>
      </c>
      <c r="LZW16" t="s">
        <v>188</v>
      </c>
      <c r="LZX16" t="s">
        <v>188</v>
      </c>
      <c r="LZY16" t="s">
        <v>188</v>
      </c>
      <c r="LZZ16" t="s">
        <v>188</v>
      </c>
      <c r="MAA16" t="s">
        <v>188</v>
      </c>
      <c r="MAB16" t="s">
        <v>188</v>
      </c>
      <c r="MAC16" t="s">
        <v>188</v>
      </c>
      <c r="MAD16" t="s">
        <v>188</v>
      </c>
      <c r="MAE16" t="s">
        <v>188</v>
      </c>
      <c r="MAF16" t="s">
        <v>188</v>
      </c>
      <c r="MAG16" t="s">
        <v>188</v>
      </c>
      <c r="MAH16" t="s">
        <v>188</v>
      </c>
      <c r="MAI16" t="s">
        <v>188</v>
      </c>
      <c r="MAJ16" t="s">
        <v>188</v>
      </c>
      <c r="MAK16" t="s">
        <v>188</v>
      </c>
      <c r="MAL16" t="s">
        <v>188</v>
      </c>
      <c r="MAM16" t="s">
        <v>188</v>
      </c>
      <c r="MAN16" t="s">
        <v>188</v>
      </c>
      <c r="MAO16" t="s">
        <v>188</v>
      </c>
      <c r="MAP16" t="s">
        <v>188</v>
      </c>
      <c r="MAQ16" t="s">
        <v>188</v>
      </c>
      <c r="MAR16" t="s">
        <v>188</v>
      </c>
      <c r="MAS16" t="s">
        <v>188</v>
      </c>
      <c r="MAT16" t="s">
        <v>188</v>
      </c>
      <c r="MAU16" t="s">
        <v>188</v>
      </c>
      <c r="MAV16" t="s">
        <v>188</v>
      </c>
      <c r="MAW16" t="s">
        <v>188</v>
      </c>
      <c r="MAX16" t="s">
        <v>188</v>
      </c>
      <c r="MAY16" t="s">
        <v>188</v>
      </c>
      <c r="MAZ16" t="s">
        <v>188</v>
      </c>
      <c r="MBA16" t="s">
        <v>188</v>
      </c>
      <c r="MBB16" t="s">
        <v>188</v>
      </c>
      <c r="MBC16" t="s">
        <v>188</v>
      </c>
      <c r="MBD16" t="s">
        <v>188</v>
      </c>
      <c r="MBE16" t="s">
        <v>188</v>
      </c>
      <c r="MBF16" t="s">
        <v>188</v>
      </c>
      <c r="MBG16" t="s">
        <v>188</v>
      </c>
      <c r="MBH16" t="s">
        <v>188</v>
      </c>
      <c r="MBI16" t="s">
        <v>188</v>
      </c>
      <c r="MBJ16" t="s">
        <v>188</v>
      </c>
      <c r="MBK16" t="s">
        <v>188</v>
      </c>
      <c r="MBL16" t="s">
        <v>188</v>
      </c>
      <c r="MBM16" t="s">
        <v>188</v>
      </c>
      <c r="MBN16" t="s">
        <v>188</v>
      </c>
      <c r="MBO16" t="s">
        <v>188</v>
      </c>
      <c r="MBP16" t="s">
        <v>188</v>
      </c>
      <c r="MBQ16" t="s">
        <v>188</v>
      </c>
      <c r="MBR16" t="s">
        <v>188</v>
      </c>
      <c r="MBS16" t="s">
        <v>188</v>
      </c>
      <c r="MBT16" t="s">
        <v>188</v>
      </c>
      <c r="MBU16" t="s">
        <v>188</v>
      </c>
      <c r="MBV16" t="s">
        <v>188</v>
      </c>
      <c r="MBW16" t="s">
        <v>188</v>
      </c>
      <c r="MBX16" t="s">
        <v>188</v>
      </c>
      <c r="MBY16" t="s">
        <v>188</v>
      </c>
      <c r="MBZ16" t="s">
        <v>188</v>
      </c>
      <c r="MCA16" t="s">
        <v>188</v>
      </c>
      <c r="MCB16" t="s">
        <v>188</v>
      </c>
      <c r="MCC16" t="s">
        <v>188</v>
      </c>
      <c r="MCD16" t="s">
        <v>188</v>
      </c>
      <c r="MCE16" t="s">
        <v>188</v>
      </c>
      <c r="MCF16" t="s">
        <v>188</v>
      </c>
      <c r="MCG16" t="s">
        <v>188</v>
      </c>
      <c r="MCH16" t="s">
        <v>188</v>
      </c>
      <c r="MCI16" t="s">
        <v>188</v>
      </c>
      <c r="MCJ16" t="s">
        <v>188</v>
      </c>
      <c r="MCK16" t="s">
        <v>188</v>
      </c>
      <c r="MCL16" t="s">
        <v>188</v>
      </c>
      <c r="MCM16" t="s">
        <v>188</v>
      </c>
      <c r="MCN16" t="s">
        <v>188</v>
      </c>
      <c r="MCO16" t="s">
        <v>188</v>
      </c>
      <c r="MCP16" t="s">
        <v>188</v>
      </c>
      <c r="MCQ16" t="s">
        <v>188</v>
      </c>
      <c r="MCR16" t="s">
        <v>188</v>
      </c>
      <c r="MCS16" t="s">
        <v>188</v>
      </c>
      <c r="MCT16" t="s">
        <v>188</v>
      </c>
      <c r="MCU16" t="s">
        <v>188</v>
      </c>
      <c r="MCV16" t="s">
        <v>188</v>
      </c>
      <c r="MCW16" t="s">
        <v>188</v>
      </c>
      <c r="MCX16" t="s">
        <v>188</v>
      </c>
      <c r="MCY16" t="s">
        <v>188</v>
      </c>
      <c r="MCZ16" t="s">
        <v>188</v>
      </c>
      <c r="MDA16" t="s">
        <v>188</v>
      </c>
      <c r="MDB16" t="s">
        <v>188</v>
      </c>
      <c r="MDC16" t="s">
        <v>188</v>
      </c>
      <c r="MDD16" t="s">
        <v>188</v>
      </c>
      <c r="MDE16" t="s">
        <v>188</v>
      </c>
      <c r="MDF16" t="s">
        <v>188</v>
      </c>
      <c r="MDG16" t="s">
        <v>188</v>
      </c>
      <c r="MDH16" t="s">
        <v>188</v>
      </c>
      <c r="MDI16" t="s">
        <v>188</v>
      </c>
      <c r="MDJ16" t="s">
        <v>188</v>
      </c>
      <c r="MDK16" t="s">
        <v>188</v>
      </c>
      <c r="MDL16" t="s">
        <v>188</v>
      </c>
      <c r="MDM16" t="s">
        <v>188</v>
      </c>
      <c r="MDN16" t="s">
        <v>188</v>
      </c>
      <c r="MDO16" t="s">
        <v>188</v>
      </c>
      <c r="MDP16" t="s">
        <v>188</v>
      </c>
      <c r="MDQ16" t="s">
        <v>188</v>
      </c>
      <c r="MDR16" t="s">
        <v>188</v>
      </c>
      <c r="MDS16" t="s">
        <v>188</v>
      </c>
      <c r="MDT16" t="s">
        <v>188</v>
      </c>
      <c r="MDU16" t="s">
        <v>188</v>
      </c>
      <c r="MDV16" t="s">
        <v>188</v>
      </c>
      <c r="MDW16" t="s">
        <v>188</v>
      </c>
      <c r="MDX16" t="s">
        <v>188</v>
      </c>
      <c r="MDY16" t="s">
        <v>188</v>
      </c>
      <c r="MDZ16" t="s">
        <v>188</v>
      </c>
      <c r="MEA16" t="s">
        <v>188</v>
      </c>
      <c r="MEB16" t="s">
        <v>188</v>
      </c>
      <c r="MEC16" t="s">
        <v>188</v>
      </c>
      <c r="MED16" t="s">
        <v>188</v>
      </c>
      <c r="MEE16" t="s">
        <v>188</v>
      </c>
      <c r="MEF16" t="s">
        <v>188</v>
      </c>
      <c r="MEG16" t="s">
        <v>188</v>
      </c>
      <c r="MEH16" t="s">
        <v>188</v>
      </c>
      <c r="MEI16" t="s">
        <v>188</v>
      </c>
      <c r="MEJ16" t="s">
        <v>188</v>
      </c>
      <c r="MEK16" t="s">
        <v>188</v>
      </c>
      <c r="MEL16" t="s">
        <v>188</v>
      </c>
      <c r="MEM16" t="s">
        <v>188</v>
      </c>
      <c r="MEN16" t="s">
        <v>188</v>
      </c>
      <c r="MEO16" t="s">
        <v>188</v>
      </c>
      <c r="MEP16" t="s">
        <v>188</v>
      </c>
      <c r="MEQ16" t="s">
        <v>188</v>
      </c>
      <c r="MER16" t="s">
        <v>188</v>
      </c>
      <c r="MES16" t="s">
        <v>188</v>
      </c>
      <c r="MET16" t="s">
        <v>188</v>
      </c>
      <c r="MEU16" t="s">
        <v>188</v>
      </c>
      <c r="MEV16" t="s">
        <v>188</v>
      </c>
      <c r="MEW16" t="s">
        <v>188</v>
      </c>
      <c r="MEX16" t="s">
        <v>188</v>
      </c>
      <c r="MEY16" t="s">
        <v>188</v>
      </c>
      <c r="MEZ16" t="s">
        <v>188</v>
      </c>
      <c r="MFA16" t="s">
        <v>188</v>
      </c>
      <c r="MFB16" t="s">
        <v>188</v>
      </c>
      <c r="MFC16" t="s">
        <v>188</v>
      </c>
      <c r="MFD16" t="s">
        <v>188</v>
      </c>
      <c r="MFE16" t="s">
        <v>188</v>
      </c>
      <c r="MFF16" t="s">
        <v>188</v>
      </c>
      <c r="MFG16" t="s">
        <v>188</v>
      </c>
      <c r="MFH16" t="s">
        <v>188</v>
      </c>
      <c r="MFI16" t="s">
        <v>188</v>
      </c>
      <c r="MFJ16" t="s">
        <v>188</v>
      </c>
      <c r="MFK16" t="s">
        <v>188</v>
      </c>
      <c r="MFL16" t="s">
        <v>188</v>
      </c>
      <c r="MFM16" t="s">
        <v>188</v>
      </c>
      <c r="MFN16" t="s">
        <v>188</v>
      </c>
      <c r="MFO16" t="s">
        <v>188</v>
      </c>
      <c r="MFP16" t="s">
        <v>188</v>
      </c>
      <c r="MFQ16" t="s">
        <v>188</v>
      </c>
      <c r="MFR16" t="s">
        <v>188</v>
      </c>
      <c r="MFS16" t="s">
        <v>188</v>
      </c>
      <c r="MFT16" t="s">
        <v>188</v>
      </c>
      <c r="MFU16" t="s">
        <v>188</v>
      </c>
      <c r="MFV16" t="s">
        <v>188</v>
      </c>
      <c r="MFW16" t="s">
        <v>188</v>
      </c>
      <c r="MFX16" t="s">
        <v>188</v>
      </c>
      <c r="MFY16" t="s">
        <v>188</v>
      </c>
      <c r="MFZ16" t="s">
        <v>188</v>
      </c>
      <c r="MGA16" t="s">
        <v>188</v>
      </c>
      <c r="MGB16" t="s">
        <v>188</v>
      </c>
      <c r="MGC16" t="s">
        <v>188</v>
      </c>
      <c r="MGD16" t="s">
        <v>188</v>
      </c>
      <c r="MGE16" t="s">
        <v>188</v>
      </c>
      <c r="MGF16" t="s">
        <v>188</v>
      </c>
      <c r="MGG16" t="s">
        <v>188</v>
      </c>
      <c r="MGH16" t="s">
        <v>188</v>
      </c>
      <c r="MGI16" t="s">
        <v>188</v>
      </c>
      <c r="MGJ16" t="s">
        <v>188</v>
      </c>
      <c r="MGK16" t="s">
        <v>188</v>
      </c>
      <c r="MGL16" t="s">
        <v>188</v>
      </c>
      <c r="MGM16" t="s">
        <v>188</v>
      </c>
      <c r="MGN16" t="s">
        <v>188</v>
      </c>
      <c r="MGO16" t="s">
        <v>188</v>
      </c>
      <c r="MGP16" t="s">
        <v>188</v>
      </c>
      <c r="MGQ16" t="s">
        <v>188</v>
      </c>
      <c r="MGR16" t="s">
        <v>188</v>
      </c>
      <c r="MGS16" t="s">
        <v>188</v>
      </c>
      <c r="MGT16" t="s">
        <v>188</v>
      </c>
      <c r="MGU16" t="s">
        <v>188</v>
      </c>
      <c r="MGV16" t="s">
        <v>188</v>
      </c>
      <c r="MGW16" t="s">
        <v>188</v>
      </c>
      <c r="MGX16" t="s">
        <v>188</v>
      </c>
      <c r="MGY16" t="s">
        <v>188</v>
      </c>
      <c r="MGZ16" t="s">
        <v>188</v>
      </c>
      <c r="MHA16" t="s">
        <v>188</v>
      </c>
      <c r="MHB16" t="s">
        <v>188</v>
      </c>
      <c r="MHC16" t="s">
        <v>188</v>
      </c>
      <c r="MHD16" t="s">
        <v>188</v>
      </c>
      <c r="MHE16" t="s">
        <v>188</v>
      </c>
      <c r="MHF16" t="s">
        <v>188</v>
      </c>
      <c r="MHG16" t="s">
        <v>188</v>
      </c>
      <c r="MHH16" t="s">
        <v>188</v>
      </c>
      <c r="MHI16" t="s">
        <v>188</v>
      </c>
      <c r="MHJ16" t="s">
        <v>188</v>
      </c>
      <c r="MHK16" t="s">
        <v>188</v>
      </c>
      <c r="MHL16" t="s">
        <v>188</v>
      </c>
      <c r="MHM16" t="s">
        <v>188</v>
      </c>
      <c r="MHN16" t="s">
        <v>188</v>
      </c>
      <c r="MHO16" t="s">
        <v>188</v>
      </c>
      <c r="MHP16" t="s">
        <v>188</v>
      </c>
      <c r="MHQ16" t="s">
        <v>188</v>
      </c>
      <c r="MHR16" t="s">
        <v>188</v>
      </c>
      <c r="MHS16" t="s">
        <v>188</v>
      </c>
      <c r="MHT16" t="s">
        <v>188</v>
      </c>
      <c r="MHU16" t="s">
        <v>188</v>
      </c>
      <c r="MHV16" t="s">
        <v>188</v>
      </c>
      <c r="MHW16" t="s">
        <v>188</v>
      </c>
      <c r="MHX16" t="s">
        <v>188</v>
      </c>
      <c r="MHY16" t="s">
        <v>188</v>
      </c>
      <c r="MHZ16" t="s">
        <v>188</v>
      </c>
      <c r="MIA16" t="s">
        <v>188</v>
      </c>
      <c r="MIB16" t="s">
        <v>188</v>
      </c>
      <c r="MIC16" t="s">
        <v>188</v>
      </c>
      <c r="MID16" t="s">
        <v>188</v>
      </c>
      <c r="MIE16" t="s">
        <v>188</v>
      </c>
      <c r="MIF16" t="s">
        <v>188</v>
      </c>
      <c r="MIG16" t="s">
        <v>188</v>
      </c>
      <c r="MIH16" t="s">
        <v>188</v>
      </c>
      <c r="MII16" t="s">
        <v>188</v>
      </c>
      <c r="MIJ16" t="s">
        <v>188</v>
      </c>
      <c r="MIK16" t="s">
        <v>188</v>
      </c>
      <c r="MIL16" t="s">
        <v>188</v>
      </c>
      <c r="MIM16" t="s">
        <v>188</v>
      </c>
      <c r="MIN16" t="s">
        <v>188</v>
      </c>
      <c r="MIO16" t="s">
        <v>188</v>
      </c>
      <c r="MIP16" t="s">
        <v>188</v>
      </c>
      <c r="MIQ16" t="s">
        <v>188</v>
      </c>
      <c r="MIR16" t="s">
        <v>188</v>
      </c>
      <c r="MIS16" t="s">
        <v>188</v>
      </c>
      <c r="MIT16" t="s">
        <v>188</v>
      </c>
      <c r="MIU16" t="s">
        <v>188</v>
      </c>
      <c r="MIV16" t="s">
        <v>188</v>
      </c>
      <c r="MIW16" t="s">
        <v>188</v>
      </c>
      <c r="MIX16" t="s">
        <v>188</v>
      </c>
      <c r="MIY16" t="s">
        <v>188</v>
      </c>
      <c r="MIZ16" t="s">
        <v>188</v>
      </c>
      <c r="MJA16" t="s">
        <v>188</v>
      </c>
      <c r="MJB16" t="s">
        <v>188</v>
      </c>
      <c r="MJC16" t="s">
        <v>188</v>
      </c>
      <c r="MJD16" t="s">
        <v>188</v>
      </c>
      <c r="MJE16" t="s">
        <v>188</v>
      </c>
      <c r="MJF16" t="s">
        <v>188</v>
      </c>
      <c r="MJG16" t="s">
        <v>188</v>
      </c>
      <c r="MJH16" t="s">
        <v>188</v>
      </c>
      <c r="MJI16" t="s">
        <v>188</v>
      </c>
      <c r="MJJ16" t="s">
        <v>188</v>
      </c>
      <c r="MJK16" t="s">
        <v>188</v>
      </c>
      <c r="MJL16" t="s">
        <v>188</v>
      </c>
      <c r="MJM16" t="s">
        <v>188</v>
      </c>
      <c r="MJN16" t="s">
        <v>188</v>
      </c>
      <c r="MJO16" t="s">
        <v>188</v>
      </c>
      <c r="MJP16" t="s">
        <v>188</v>
      </c>
      <c r="MJQ16" t="s">
        <v>188</v>
      </c>
      <c r="MJR16" t="s">
        <v>188</v>
      </c>
      <c r="MJS16" t="s">
        <v>188</v>
      </c>
      <c r="MJT16" t="s">
        <v>188</v>
      </c>
      <c r="MJU16" t="s">
        <v>188</v>
      </c>
      <c r="MJV16" t="s">
        <v>188</v>
      </c>
      <c r="MJW16" t="s">
        <v>188</v>
      </c>
      <c r="MJX16" t="s">
        <v>188</v>
      </c>
      <c r="MJY16" t="s">
        <v>188</v>
      </c>
      <c r="MJZ16" t="s">
        <v>188</v>
      </c>
      <c r="MKA16" t="s">
        <v>188</v>
      </c>
      <c r="MKB16" t="s">
        <v>188</v>
      </c>
      <c r="MKC16" t="s">
        <v>188</v>
      </c>
      <c r="MKD16" t="s">
        <v>188</v>
      </c>
      <c r="MKE16" t="s">
        <v>188</v>
      </c>
      <c r="MKF16" t="s">
        <v>188</v>
      </c>
      <c r="MKG16" t="s">
        <v>188</v>
      </c>
      <c r="MKH16" t="s">
        <v>188</v>
      </c>
      <c r="MKI16" t="s">
        <v>188</v>
      </c>
      <c r="MKJ16" t="s">
        <v>188</v>
      </c>
      <c r="MKK16" t="s">
        <v>188</v>
      </c>
      <c r="MKL16" t="s">
        <v>188</v>
      </c>
      <c r="MKM16" t="s">
        <v>188</v>
      </c>
      <c r="MKN16" t="s">
        <v>188</v>
      </c>
      <c r="MKO16" t="s">
        <v>188</v>
      </c>
      <c r="MKP16" t="s">
        <v>188</v>
      </c>
      <c r="MKQ16" t="s">
        <v>188</v>
      </c>
      <c r="MKR16" t="s">
        <v>188</v>
      </c>
      <c r="MKS16" t="s">
        <v>188</v>
      </c>
      <c r="MKT16" t="s">
        <v>188</v>
      </c>
      <c r="MKU16" t="s">
        <v>188</v>
      </c>
      <c r="MKV16" t="s">
        <v>188</v>
      </c>
      <c r="MKW16" t="s">
        <v>188</v>
      </c>
      <c r="MKX16" t="s">
        <v>188</v>
      </c>
      <c r="MKY16" t="s">
        <v>188</v>
      </c>
      <c r="MKZ16" t="s">
        <v>188</v>
      </c>
      <c r="MLA16" t="s">
        <v>188</v>
      </c>
      <c r="MLB16" t="s">
        <v>188</v>
      </c>
      <c r="MLC16" t="s">
        <v>188</v>
      </c>
      <c r="MLD16" t="s">
        <v>188</v>
      </c>
      <c r="MLE16" t="s">
        <v>188</v>
      </c>
      <c r="MLF16" t="s">
        <v>188</v>
      </c>
      <c r="MLG16" t="s">
        <v>188</v>
      </c>
      <c r="MLH16" t="s">
        <v>188</v>
      </c>
      <c r="MLI16" t="s">
        <v>188</v>
      </c>
      <c r="MLJ16" t="s">
        <v>188</v>
      </c>
      <c r="MLK16" t="s">
        <v>188</v>
      </c>
      <c r="MLL16" t="s">
        <v>188</v>
      </c>
      <c r="MLM16" t="s">
        <v>188</v>
      </c>
      <c r="MLN16" t="s">
        <v>188</v>
      </c>
      <c r="MLO16" t="s">
        <v>188</v>
      </c>
      <c r="MLP16" t="s">
        <v>188</v>
      </c>
      <c r="MLQ16" t="s">
        <v>188</v>
      </c>
      <c r="MLR16" t="s">
        <v>188</v>
      </c>
      <c r="MLS16" t="s">
        <v>188</v>
      </c>
      <c r="MLT16" t="s">
        <v>188</v>
      </c>
      <c r="MLU16" t="s">
        <v>188</v>
      </c>
      <c r="MLV16" t="s">
        <v>188</v>
      </c>
      <c r="MLW16" t="s">
        <v>188</v>
      </c>
      <c r="MLX16" t="s">
        <v>188</v>
      </c>
      <c r="MLY16" t="s">
        <v>188</v>
      </c>
      <c r="MLZ16" t="s">
        <v>188</v>
      </c>
      <c r="MMA16" t="s">
        <v>188</v>
      </c>
      <c r="MMB16" t="s">
        <v>188</v>
      </c>
      <c r="MMC16" t="s">
        <v>188</v>
      </c>
      <c r="MMD16" t="s">
        <v>188</v>
      </c>
      <c r="MME16" t="s">
        <v>188</v>
      </c>
      <c r="MMF16" t="s">
        <v>188</v>
      </c>
      <c r="MMG16" t="s">
        <v>188</v>
      </c>
      <c r="MMH16" t="s">
        <v>188</v>
      </c>
      <c r="MMI16" t="s">
        <v>188</v>
      </c>
      <c r="MMJ16" t="s">
        <v>188</v>
      </c>
      <c r="MMK16" t="s">
        <v>188</v>
      </c>
      <c r="MML16" t="s">
        <v>188</v>
      </c>
      <c r="MMM16" t="s">
        <v>188</v>
      </c>
      <c r="MMN16" t="s">
        <v>188</v>
      </c>
      <c r="MMO16" t="s">
        <v>188</v>
      </c>
      <c r="MMP16" t="s">
        <v>188</v>
      </c>
      <c r="MMQ16" t="s">
        <v>188</v>
      </c>
      <c r="MMR16" t="s">
        <v>188</v>
      </c>
      <c r="MMS16" t="s">
        <v>188</v>
      </c>
      <c r="MMT16" t="s">
        <v>188</v>
      </c>
      <c r="MMU16" t="s">
        <v>188</v>
      </c>
      <c r="MMV16" t="s">
        <v>188</v>
      </c>
      <c r="MMW16" t="s">
        <v>188</v>
      </c>
      <c r="MMX16" t="s">
        <v>188</v>
      </c>
      <c r="MMY16" t="s">
        <v>188</v>
      </c>
      <c r="MMZ16" t="s">
        <v>188</v>
      </c>
      <c r="MNA16" t="s">
        <v>188</v>
      </c>
      <c r="MNB16" t="s">
        <v>188</v>
      </c>
      <c r="MNC16" t="s">
        <v>188</v>
      </c>
      <c r="MND16" t="s">
        <v>188</v>
      </c>
      <c r="MNE16" t="s">
        <v>188</v>
      </c>
      <c r="MNF16" t="s">
        <v>188</v>
      </c>
      <c r="MNG16" t="s">
        <v>188</v>
      </c>
      <c r="MNH16" t="s">
        <v>188</v>
      </c>
      <c r="MNI16" t="s">
        <v>188</v>
      </c>
      <c r="MNJ16" t="s">
        <v>188</v>
      </c>
      <c r="MNK16" t="s">
        <v>188</v>
      </c>
      <c r="MNL16" t="s">
        <v>188</v>
      </c>
      <c r="MNM16" t="s">
        <v>188</v>
      </c>
      <c r="MNN16" t="s">
        <v>188</v>
      </c>
      <c r="MNO16" t="s">
        <v>188</v>
      </c>
      <c r="MNP16" t="s">
        <v>188</v>
      </c>
      <c r="MNQ16" t="s">
        <v>188</v>
      </c>
      <c r="MNR16" t="s">
        <v>188</v>
      </c>
      <c r="MNS16" t="s">
        <v>188</v>
      </c>
      <c r="MNT16" t="s">
        <v>188</v>
      </c>
      <c r="MNU16" t="s">
        <v>188</v>
      </c>
      <c r="MNV16" t="s">
        <v>188</v>
      </c>
      <c r="MNW16" t="s">
        <v>188</v>
      </c>
      <c r="MNX16" t="s">
        <v>188</v>
      </c>
      <c r="MNY16" t="s">
        <v>188</v>
      </c>
      <c r="MNZ16" t="s">
        <v>188</v>
      </c>
      <c r="MOA16" t="s">
        <v>188</v>
      </c>
      <c r="MOB16" t="s">
        <v>188</v>
      </c>
      <c r="MOC16" t="s">
        <v>188</v>
      </c>
      <c r="MOD16" t="s">
        <v>188</v>
      </c>
      <c r="MOE16" t="s">
        <v>188</v>
      </c>
      <c r="MOF16" t="s">
        <v>188</v>
      </c>
      <c r="MOG16" t="s">
        <v>188</v>
      </c>
      <c r="MOH16" t="s">
        <v>188</v>
      </c>
      <c r="MOI16" t="s">
        <v>188</v>
      </c>
      <c r="MOJ16" t="s">
        <v>188</v>
      </c>
      <c r="MOK16" t="s">
        <v>188</v>
      </c>
      <c r="MOL16" t="s">
        <v>188</v>
      </c>
      <c r="MOM16" t="s">
        <v>188</v>
      </c>
      <c r="MON16" t="s">
        <v>188</v>
      </c>
      <c r="MOO16" t="s">
        <v>188</v>
      </c>
      <c r="MOP16" t="s">
        <v>188</v>
      </c>
      <c r="MOQ16" t="s">
        <v>188</v>
      </c>
      <c r="MOR16" t="s">
        <v>188</v>
      </c>
      <c r="MOS16" t="s">
        <v>188</v>
      </c>
      <c r="MOT16" t="s">
        <v>188</v>
      </c>
      <c r="MOU16" t="s">
        <v>188</v>
      </c>
      <c r="MOV16" t="s">
        <v>188</v>
      </c>
      <c r="MOW16" t="s">
        <v>188</v>
      </c>
      <c r="MOX16" t="s">
        <v>188</v>
      </c>
      <c r="MOY16" t="s">
        <v>188</v>
      </c>
      <c r="MOZ16" t="s">
        <v>188</v>
      </c>
      <c r="MPA16" t="s">
        <v>188</v>
      </c>
      <c r="MPB16" t="s">
        <v>188</v>
      </c>
      <c r="MPC16" t="s">
        <v>188</v>
      </c>
      <c r="MPD16" t="s">
        <v>188</v>
      </c>
      <c r="MPE16" t="s">
        <v>188</v>
      </c>
      <c r="MPF16" t="s">
        <v>188</v>
      </c>
      <c r="MPG16" t="s">
        <v>188</v>
      </c>
      <c r="MPH16" t="s">
        <v>188</v>
      </c>
      <c r="MPI16" t="s">
        <v>188</v>
      </c>
      <c r="MPJ16" t="s">
        <v>188</v>
      </c>
      <c r="MPK16" t="s">
        <v>188</v>
      </c>
      <c r="MPL16" t="s">
        <v>188</v>
      </c>
      <c r="MPM16" t="s">
        <v>188</v>
      </c>
      <c r="MPN16" t="s">
        <v>188</v>
      </c>
      <c r="MPO16" t="s">
        <v>188</v>
      </c>
      <c r="MPP16" t="s">
        <v>188</v>
      </c>
      <c r="MPQ16" t="s">
        <v>188</v>
      </c>
      <c r="MPR16" t="s">
        <v>188</v>
      </c>
      <c r="MPS16" t="s">
        <v>188</v>
      </c>
      <c r="MPT16" t="s">
        <v>188</v>
      </c>
      <c r="MPU16" t="s">
        <v>188</v>
      </c>
      <c r="MPV16" t="s">
        <v>188</v>
      </c>
      <c r="MPW16" t="s">
        <v>188</v>
      </c>
      <c r="MPX16" t="s">
        <v>188</v>
      </c>
      <c r="MPY16" t="s">
        <v>188</v>
      </c>
      <c r="MPZ16" t="s">
        <v>188</v>
      </c>
      <c r="MQA16" t="s">
        <v>188</v>
      </c>
      <c r="MQB16" t="s">
        <v>188</v>
      </c>
      <c r="MQC16" t="s">
        <v>188</v>
      </c>
      <c r="MQD16" t="s">
        <v>188</v>
      </c>
      <c r="MQE16" t="s">
        <v>188</v>
      </c>
      <c r="MQF16" t="s">
        <v>188</v>
      </c>
      <c r="MQG16" t="s">
        <v>188</v>
      </c>
      <c r="MQH16" t="s">
        <v>188</v>
      </c>
      <c r="MQI16" t="s">
        <v>188</v>
      </c>
      <c r="MQJ16" t="s">
        <v>188</v>
      </c>
      <c r="MQK16" t="s">
        <v>188</v>
      </c>
      <c r="MQL16" t="s">
        <v>188</v>
      </c>
      <c r="MQM16" t="s">
        <v>188</v>
      </c>
      <c r="MQN16" t="s">
        <v>188</v>
      </c>
      <c r="MQO16" t="s">
        <v>188</v>
      </c>
      <c r="MQP16" t="s">
        <v>188</v>
      </c>
      <c r="MQQ16" t="s">
        <v>188</v>
      </c>
      <c r="MQR16" t="s">
        <v>188</v>
      </c>
      <c r="MQS16" t="s">
        <v>188</v>
      </c>
      <c r="MQT16" t="s">
        <v>188</v>
      </c>
      <c r="MQU16" t="s">
        <v>188</v>
      </c>
      <c r="MQV16" t="s">
        <v>188</v>
      </c>
      <c r="MQW16" t="s">
        <v>188</v>
      </c>
      <c r="MQX16" t="s">
        <v>188</v>
      </c>
      <c r="MQY16" t="s">
        <v>188</v>
      </c>
      <c r="MQZ16" t="s">
        <v>188</v>
      </c>
      <c r="MRA16" t="s">
        <v>188</v>
      </c>
      <c r="MRB16" t="s">
        <v>188</v>
      </c>
      <c r="MRC16" t="s">
        <v>188</v>
      </c>
      <c r="MRD16" t="s">
        <v>188</v>
      </c>
      <c r="MRE16" t="s">
        <v>188</v>
      </c>
      <c r="MRF16" t="s">
        <v>188</v>
      </c>
      <c r="MRG16" t="s">
        <v>188</v>
      </c>
      <c r="MRH16" t="s">
        <v>188</v>
      </c>
      <c r="MRI16" t="s">
        <v>188</v>
      </c>
      <c r="MRJ16" t="s">
        <v>188</v>
      </c>
      <c r="MRK16" t="s">
        <v>188</v>
      </c>
      <c r="MRL16" t="s">
        <v>188</v>
      </c>
      <c r="MRM16" t="s">
        <v>188</v>
      </c>
      <c r="MRN16" t="s">
        <v>188</v>
      </c>
      <c r="MRO16" t="s">
        <v>188</v>
      </c>
      <c r="MRP16" t="s">
        <v>188</v>
      </c>
      <c r="MRQ16" t="s">
        <v>188</v>
      </c>
      <c r="MRR16" t="s">
        <v>188</v>
      </c>
      <c r="MRS16" t="s">
        <v>188</v>
      </c>
      <c r="MRT16" t="s">
        <v>188</v>
      </c>
      <c r="MRU16" t="s">
        <v>188</v>
      </c>
      <c r="MRV16" t="s">
        <v>188</v>
      </c>
      <c r="MRW16" t="s">
        <v>188</v>
      </c>
      <c r="MRX16" t="s">
        <v>188</v>
      </c>
      <c r="MRY16" t="s">
        <v>188</v>
      </c>
      <c r="MRZ16" t="s">
        <v>188</v>
      </c>
      <c r="MSA16" t="s">
        <v>188</v>
      </c>
      <c r="MSB16" t="s">
        <v>188</v>
      </c>
      <c r="MSC16" t="s">
        <v>188</v>
      </c>
      <c r="MSD16" t="s">
        <v>188</v>
      </c>
      <c r="MSE16" t="s">
        <v>188</v>
      </c>
      <c r="MSF16" t="s">
        <v>188</v>
      </c>
      <c r="MSG16" t="s">
        <v>188</v>
      </c>
      <c r="MSH16" t="s">
        <v>188</v>
      </c>
      <c r="MSI16" t="s">
        <v>188</v>
      </c>
      <c r="MSJ16" t="s">
        <v>188</v>
      </c>
      <c r="MSK16" t="s">
        <v>188</v>
      </c>
      <c r="MSL16" t="s">
        <v>188</v>
      </c>
      <c r="MSM16" t="s">
        <v>188</v>
      </c>
      <c r="MSN16" t="s">
        <v>188</v>
      </c>
      <c r="MSO16" t="s">
        <v>188</v>
      </c>
      <c r="MSP16" t="s">
        <v>188</v>
      </c>
      <c r="MSQ16" t="s">
        <v>188</v>
      </c>
      <c r="MSR16" t="s">
        <v>188</v>
      </c>
      <c r="MSS16" t="s">
        <v>188</v>
      </c>
      <c r="MST16" t="s">
        <v>188</v>
      </c>
      <c r="MSU16" t="s">
        <v>188</v>
      </c>
      <c r="MSV16" t="s">
        <v>188</v>
      </c>
      <c r="MSW16" t="s">
        <v>188</v>
      </c>
      <c r="MSX16" t="s">
        <v>188</v>
      </c>
      <c r="MSY16" t="s">
        <v>188</v>
      </c>
      <c r="MSZ16" t="s">
        <v>188</v>
      </c>
      <c r="MTA16" t="s">
        <v>188</v>
      </c>
      <c r="MTB16" t="s">
        <v>188</v>
      </c>
      <c r="MTC16" t="s">
        <v>188</v>
      </c>
      <c r="MTD16" t="s">
        <v>188</v>
      </c>
      <c r="MTE16" t="s">
        <v>188</v>
      </c>
      <c r="MTF16" t="s">
        <v>188</v>
      </c>
      <c r="MTG16" t="s">
        <v>188</v>
      </c>
      <c r="MTH16" t="s">
        <v>188</v>
      </c>
      <c r="MTI16" t="s">
        <v>188</v>
      </c>
      <c r="MTJ16" t="s">
        <v>188</v>
      </c>
      <c r="MTK16" t="s">
        <v>188</v>
      </c>
      <c r="MTL16" t="s">
        <v>188</v>
      </c>
      <c r="MTM16" t="s">
        <v>188</v>
      </c>
      <c r="MTN16" t="s">
        <v>188</v>
      </c>
      <c r="MTO16" t="s">
        <v>188</v>
      </c>
      <c r="MTP16" t="s">
        <v>188</v>
      </c>
      <c r="MTQ16" t="s">
        <v>188</v>
      </c>
      <c r="MTR16" t="s">
        <v>188</v>
      </c>
      <c r="MTS16" t="s">
        <v>188</v>
      </c>
      <c r="MTT16" t="s">
        <v>188</v>
      </c>
      <c r="MTU16" t="s">
        <v>188</v>
      </c>
      <c r="MTV16" t="s">
        <v>188</v>
      </c>
      <c r="MTW16" t="s">
        <v>188</v>
      </c>
      <c r="MTX16" t="s">
        <v>188</v>
      </c>
      <c r="MTY16" t="s">
        <v>188</v>
      </c>
      <c r="MTZ16" t="s">
        <v>188</v>
      </c>
      <c r="MUA16" t="s">
        <v>188</v>
      </c>
      <c r="MUB16" t="s">
        <v>188</v>
      </c>
      <c r="MUC16" t="s">
        <v>188</v>
      </c>
      <c r="MUD16" t="s">
        <v>188</v>
      </c>
      <c r="MUE16" t="s">
        <v>188</v>
      </c>
      <c r="MUF16" t="s">
        <v>188</v>
      </c>
      <c r="MUG16" t="s">
        <v>188</v>
      </c>
      <c r="MUH16" t="s">
        <v>188</v>
      </c>
      <c r="MUI16" t="s">
        <v>188</v>
      </c>
      <c r="MUJ16" t="s">
        <v>188</v>
      </c>
      <c r="MUK16" t="s">
        <v>188</v>
      </c>
      <c r="MUL16" t="s">
        <v>188</v>
      </c>
      <c r="MUM16" t="s">
        <v>188</v>
      </c>
      <c r="MUN16" t="s">
        <v>188</v>
      </c>
      <c r="MUO16" t="s">
        <v>188</v>
      </c>
      <c r="MUP16" t="s">
        <v>188</v>
      </c>
      <c r="MUQ16" t="s">
        <v>188</v>
      </c>
      <c r="MUR16" t="s">
        <v>188</v>
      </c>
      <c r="MUS16" t="s">
        <v>188</v>
      </c>
      <c r="MUT16" t="s">
        <v>188</v>
      </c>
      <c r="MUU16" t="s">
        <v>188</v>
      </c>
      <c r="MUV16" t="s">
        <v>188</v>
      </c>
      <c r="MUW16" t="s">
        <v>188</v>
      </c>
      <c r="MUX16" t="s">
        <v>188</v>
      </c>
      <c r="MUY16" t="s">
        <v>188</v>
      </c>
      <c r="MUZ16" t="s">
        <v>188</v>
      </c>
      <c r="MVA16" t="s">
        <v>188</v>
      </c>
      <c r="MVB16" t="s">
        <v>188</v>
      </c>
      <c r="MVC16" t="s">
        <v>188</v>
      </c>
      <c r="MVD16" t="s">
        <v>188</v>
      </c>
      <c r="MVE16" t="s">
        <v>188</v>
      </c>
      <c r="MVF16" t="s">
        <v>188</v>
      </c>
      <c r="MVG16" t="s">
        <v>188</v>
      </c>
      <c r="MVH16" t="s">
        <v>188</v>
      </c>
      <c r="MVI16" t="s">
        <v>188</v>
      </c>
      <c r="MVJ16" t="s">
        <v>188</v>
      </c>
      <c r="MVK16" t="s">
        <v>188</v>
      </c>
      <c r="MVL16" t="s">
        <v>188</v>
      </c>
      <c r="MVM16" t="s">
        <v>188</v>
      </c>
      <c r="MVN16" t="s">
        <v>188</v>
      </c>
      <c r="MVO16" t="s">
        <v>188</v>
      </c>
      <c r="MVP16" t="s">
        <v>188</v>
      </c>
      <c r="MVQ16" t="s">
        <v>188</v>
      </c>
      <c r="MVR16" t="s">
        <v>188</v>
      </c>
      <c r="MVS16" t="s">
        <v>188</v>
      </c>
      <c r="MVT16" t="s">
        <v>188</v>
      </c>
      <c r="MVU16" t="s">
        <v>188</v>
      </c>
      <c r="MVV16" t="s">
        <v>188</v>
      </c>
      <c r="MVW16" t="s">
        <v>188</v>
      </c>
      <c r="MVX16" t="s">
        <v>188</v>
      </c>
      <c r="MVY16" t="s">
        <v>188</v>
      </c>
      <c r="MVZ16" t="s">
        <v>188</v>
      </c>
      <c r="MWA16" t="s">
        <v>188</v>
      </c>
      <c r="MWB16" t="s">
        <v>188</v>
      </c>
      <c r="MWC16" t="s">
        <v>188</v>
      </c>
      <c r="MWD16" t="s">
        <v>188</v>
      </c>
      <c r="MWE16" t="s">
        <v>188</v>
      </c>
      <c r="MWF16" t="s">
        <v>188</v>
      </c>
      <c r="MWG16" t="s">
        <v>188</v>
      </c>
      <c r="MWH16" t="s">
        <v>188</v>
      </c>
      <c r="MWI16" t="s">
        <v>188</v>
      </c>
      <c r="MWJ16" t="s">
        <v>188</v>
      </c>
      <c r="MWK16" t="s">
        <v>188</v>
      </c>
      <c r="MWL16" t="s">
        <v>188</v>
      </c>
      <c r="MWM16" t="s">
        <v>188</v>
      </c>
      <c r="MWN16" t="s">
        <v>188</v>
      </c>
      <c r="MWO16" t="s">
        <v>188</v>
      </c>
      <c r="MWP16" t="s">
        <v>188</v>
      </c>
      <c r="MWQ16" t="s">
        <v>188</v>
      </c>
      <c r="MWR16" t="s">
        <v>188</v>
      </c>
      <c r="MWS16" t="s">
        <v>188</v>
      </c>
      <c r="MWT16" t="s">
        <v>188</v>
      </c>
      <c r="MWU16" t="s">
        <v>188</v>
      </c>
      <c r="MWV16" t="s">
        <v>188</v>
      </c>
      <c r="MWW16" t="s">
        <v>188</v>
      </c>
      <c r="MWX16" t="s">
        <v>188</v>
      </c>
      <c r="MWY16" t="s">
        <v>188</v>
      </c>
      <c r="MWZ16" t="s">
        <v>188</v>
      </c>
      <c r="MXA16" t="s">
        <v>188</v>
      </c>
      <c r="MXB16" t="s">
        <v>188</v>
      </c>
      <c r="MXC16" t="s">
        <v>188</v>
      </c>
      <c r="MXD16" t="s">
        <v>188</v>
      </c>
      <c r="MXE16" t="s">
        <v>188</v>
      </c>
      <c r="MXF16" t="s">
        <v>188</v>
      </c>
      <c r="MXG16" t="s">
        <v>188</v>
      </c>
      <c r="MXH16" t="s">
        <v>188</v>
      </c>
      <c r="MXI16" t="s">
        <v>188</v>
      </c>
      <c r="MXJ16" t="s">
        <v>188</v>
      </c>
      <c r="MXK16" t="s">
        <v>188</v>
      </c>
      <c r="MXL16" t="s">
        <v>188</v>
      </c>
      <c r="MXM16" t="s">
        <v>188</v>
      </c>
      <c r="MXN16" t="s">
        <v>188</v>
      </c>
      <c r="MXO16" t="s">
        <v>188</v>
      </c>
      <c r="MXP16" t="s">
        <v>188</v>
      </c>
      <c r="MXQ16" t="s">
        <v>188</v>
      </c>
      <c r="MXR16" t="s">
        <v>188</v>
      </c>
      <c r="MXS16" t="s">
        <v>188</v>
      </c>
      <c r="MXT16" t="s">
        <v>188</v>
      </c>
      <c r="MXU16" t="s">
        <v>188</v>
      </c>
      <c r="MXV16" t="s">
        <v>188</v>
      </c>
      <c r="MXW16" t="s">
        <v>188</v>
      </c>
      <c r="MXX16" t="s">
        <v>188</v>
      </c>
      <c r="MXY16" t="s">
        <v>188</v>
      </c>
      <c r="MXZ16" t="s">
        <v>188</v>
      </c>
      <c r="MYA16" t="s">
        <v>188</v>
      </c>
      <c r="MYB16" t="s">
        <v>188</v>
      </c>
      <c r="MYC16" t="s">
        <v>188</v>
      </c>
      <c r="MYD16" t="s">
        <v>188</v>
      </c>
      <c r="MYE16" t="s">
        <v>188</v>
      </c>
      <c r="MYF16" t="s">
        <v>188</v>
      </c>
      <c r="MYG16" t="s">
        <v>188</v>
      </c>
      <c r="MYH16" t="s">
        <v>188</v>
      </c>
      <c r="MYI16" t="s">
        <v>188</v>
      </c>
      <c r="MYJ16" t="s">
        <v>188</v>
      </c>
      <c r="MYK16" t="s">
        <v>188</v>
      </c>
      <c r="MYL16" t="s">
        <v>188</v>
      </c>
      <c r="MYM16" t="s">
        <v>188</v>
      </c>
      <c r="MYN16" t="s">
        <v>188</v>
      </c>
      <c r="MYO16" t="s">
        <v>188</v>
      </c>
      <c r="MYP16" t="s">
        <v>188</v>
      </c>
      <c r="MYQ16" t="s">
        <v>188</v>
      </c>
      <c r="MYR16" t="s">
        <v>188</v>
      </c>
      <c r="MYS16" t="s">
        <v>188</v>
      </c>
      <c r="MYT16" t="s">
        <v>188</v>
      </c>
      <c r="MYU16" t="s">
        <v>188</v>
      </c>
      <c r="MYV16" t="s">
        <v>188</v>
      </c>
      <c r="MYW16" t="s">
        <v>188</v>
      </c>
      <c r="MYX16" t="s">
        <v>188</v>
      </c>
      <c r="MYY16" t="s">
        <v>188</v>
      </c>
      <c r="MYZ16" t="s">
        <v>188</v>
      </c>
      <c r="MZA16" t="s">
        <v>188</v>
      </c>
      <c r="MZB16" t="s">
        <v>188</v>
      </c>
      <c r="MZC16" t="s">
        <v>188</v>
      </c>
      <c r="MZD16" t="s">
        <v>188</v>
      </c>
      <c r="MZE16" t="s">
        <v>188</v>
      </c>
      <c r="MZF16" t="s">
        <v>188</v>
      </c>
      <c r="MZG16" t="s">
        <v>188</v>
      </c>
      <c r="MZH16" t="s">
        <v>188</v>
      </c>
      <c r="MZI16" t="s">
        <v>188</v>
      </c>
      <c r="MZJ16" t="s">
        <v>188</v>
      </c>
      <c r="MZK16" t="s">
        <v>188</v>
      </c>
      <c r="MZL16" t="s">
        <v>188</v>
      </c>
      <c r="MZM16" t="s">
        <v>188</v>
      </c>
      <c r="MZN16" t="s">
        <v>188</v>
      </c>
      <c r="MZO16" t="s">
        <v>188</v>
      </c>
      <c r="MZP16" t="s">
        <v>188</v>
      </c>
      <c r="MZQ16" t="s">
        <v>188</v>
      </c>
      <c r="MZR16" t="s">
        <v>188</v>
      </c>
      <c r="MZS16" t="s">
        <v>188</v>
      </c>
      <c r="MZT16" t="s">
        <v>188</v>
      </c>
      <c r="MZU16" t="s">
        <v>188</v>
      </c>
      <c r="MZV16" t="s">
        <v>188</v>
      </c>
      <c r="MZW16" t="s">
        <v>188</v>
      </c>
      <c r="MZX16" t="s">
        <v>188</v>
      </c>
      <c r="MZY16" t="s">
        <v>188</v>
      </c>
      <c r="MZZ16" t="s">
        <v>188</v>
      </c>
      <c r="NAA16" t="s">
        <v>188</v>
      </c>
      <c r="NAB16" t="s">
        <v>188</v>
      </c>
      <c r="NAC16" t="s">
        <v>188</v>
      </c>
      <c r="NAD16" t="s">
        <v>188</v>
      </c>
      <c r="NAE16" t="s">
        <v>188</v>
      </c>
      <c r="NAF16" t="s">
        <v>188</v>
      </c>
      <c r="NAG16" t="s">
        <v>188</v>
      </c>
      <c r="NAH16" t="s">
        <v>188</v>
      </c>
      <c r="NAI16" t="s">
        <v>188</v>
      </c>
      <c r="NAJ16" t="s">
        <v>188</v>
      </c>
      <c r="NAK16" t="s">
        <v>188</v>
      </c>
      <c r="NAL16" t="s">
        <v>188</v>
      </c>
      <c r="NAM16" t="s">
        <v>188</v>
      </c>
      <c r="NAN16" t="s">
        <v>188</v>
      </c>
      <c r="NAO16" t="s">
        <v>188</v>
      </c>
      <c r="NAP16" t="s">
        <v>188</v>
      </c>
      <c r="NAQ16" t="s">
        <v>188</v>
      </c>
      <c r="NAR16" t="s">
        <v>188</v>
      </c>
      <c r="NAS16" t="s">
        <v>188</v>
      </c>
      <c r="NAT16" t="s">
        <v>188</v>
      </c>
      <c r="NAU16" t="s">
        <v>188</v>
      </c>
      <c r="NAV16" t="s">
        <v>188</v>
      </c>
      <c r="NAW16" t="s">
        <v>188</v>
      </c>
      <c r="NAX16" t="s">
        <v>188</v>
      </c>
      <c r="NAY16" t="s">
        <v>188</v>
      </c>
      <c r="NAZ16" t="s">
        <v>188</v>
      </c>
      <c r="NBA16" t="s">
        <v>188</v>
      </c>
      <c r="NBB16" t="s">
        <v>188</v>
      </c>
      <c r="NBC16" t="s">
        <v>188</v>
      </c>
      <c r="NBD16" t="s">
        <v>188</v>
      </c>
      <c r="NBE16" t="s">
        <v>188</v>
      </c>
      <c r="NBF16" t="s">
        <v>188</v>
      </c>
      <c r="NBG16" t="s">
        <v>188</v>
      </c>
      <c r="NBH16" t="s">
        <v>188</v>
      </c>
      <c r="NBI16" t="s">
        <v>188</v>
      </c>
      <c r="NBJ16" t="s">
        <v>188</v>
      </c>
      <c r="NBK16" t="s">
        <v>188</v>
      </c>
      <c r="NBL16" t="s">
        <v>188</v>
      </c>
      <c r="NBM16" t="s">
        <v>188</v>
      </c>
      <c r="NBN16" t="s">
        <v>188</v>
      </c>
      <c r="NBO16" t="s">
        <v>188</v>
      </c>
      <c r="NBP16" t="s">
        <v>188</v>
      </c>
      <c r="NBQ16" t="s">
        <v>188</v>
      </c>
      <c r="NBR16" t="s">
        <v>188</v>
      </c>
      <c r="NBS16" t="s">
        <v>188</v>
      </c>
      <c r="NBT16" t="s">
        <v>188</v>
      </c>
      <c r="NBU16" t="s">
        <v>188</v>
      </c>
      <c r="NBV16" t="s">
        <v>188</v>
      </c>
      <c r="NBW16" t="s">
        <v>188</v>
      </c>
      <c r="NBX16" t="s">
        <v>188</v>
      </c>
      <c r="NBY16" t="s">
        <v>188</v>
      </c>
      <c r="NBZ16" t="s">
        <v>188</v>
      </c>
      <c r="NCA16" t="s">
        <v>188</v>
      </c>
      <c r="NCB16" t="s">
        <v>188</v>
      </c>
      <c r="NCC16" t="s">
        <v>188</v>
      </c>
      <c r="NCD16" t="s">
        <v>188</v>
      </c>
      <c r="NCE16" t="s">
        <v>188</v>
      </c>
      <c r="NCF16" t="s">
        <v>188</v>
      </c>
      <c r="NCG16" t="s">
        <v>188</v>
      </c>
      <c r="NCH16" t="s">
        <v>188</v>
      </c>
      <c r="NCI16" t="s">
        <v>188</v>
      </c>
      <c r="NCJ16" t="s">
        <v>188</v>
      </c>
      <c r="NCK16" t="s">
        <v>188</v>
      </c>
      <c r="NCL16" t="s">
        <v>188</v>
      </c>
      <c r="NCM16" t="s">
        <v>188</v>
      </c>
      <c r="NCN16" t="s">
        <v>188</v>
      </c>
      <c r="NCO16" t="s">
        <v>188</v>
      </c>
      <c r="NCP16" t="s">
        <v>188</v>
      </c>
      <c r="NCQ16" t="s">
        <v>188</v>
      </c>
      <c r="NCR16" t="s">
        <v>188</v>
      </c>
      <c r="NCS16" t="s">
        <v>188</v>
      </c>
      <c r="NCT16" t="s">
        <v>188</v>
      </c>
      <c r="NCU16" t="s">
        <v>188</v>
      </c>
      <c r="NCV16" t="s">
        <v>188</v>
      </c>
      <c r="NCW16" t="s">
        <v>188</v>
      </c>
      <c r="NCX16" t="s">
        <v>188</v>
      </c>
      <c r="NCY16" t="s">
        <v>188</v>
      </c>
      <c r="NCZ16" t="s">
        <v>188</v>
      </c>
      <c r="NDA16" t="s">
        <v>188</v>
      </c>
      <c r="NDB16" t="s">
        <v>188</v>
      </c>
      <c r="NDC16" t="s">
        <v>188</v>
      </c>
      <c r="NDD16" t="s">
        <v>188</v>
      </c>
      <c r="NDE16" t="s">
        <v>188</v>
      </c>
      <c r="NDF16" t="s">
        <v>188</v>
      </c>
      <c r="NDG16" t="s">
        <v>188</v>
      </c>
      <c r="NDH16" t="s">
        <v>188</v>
      </c>
      <c r="NDI16" t="s">
        <v>188</v>
      </c>
      <c r="NDJ16" t="s">
        <v>188</v>
      </c>
      <c r="NDK16" t="s">
        <v>188</v>
      </c>
      <c r="NDL16" t="s">
        <v>188</v>
      </c>
      <c r="NDM16" t="s">
        <v>188</v>
      </c>
      <c r="NDN16" t="s">
        <v>188</v>
      </c>
      <c r="NDO16" t="s">
        <v>188</v>
      </c>
      <c r="NDP16" t="s">
        <v>188</v>
      </c>
      <c r="NDQ16" t="s">
        <v>188</v>
      </c>
      <c r="NDR16" t="s">
        <v>188</v>
      </c>
      <c r="NDS16" t="s">
        <v>188</v>
      </c>
      <c r="NDT16" t="s">
        <v>188</v>
      </c>
      <c r="NDU16" t="s">
        <v>188</v>
      </c>
      <c r="NDV16" t="s">
        <v>188</v>
      </c>
      <c r="NDW16" t="s">
        <v>188</v>
      </c>
      <c r="NDX16" t="s">
        <v>188</v>
      </c>
      <c r="NDY16" t="s">
        <v>188</v>
      </c>
      <c r="NDZ16" t="s">
        <v>188</v>
      </c>
      <c r="NEA16" t="s">
        <v>188</v>
      </c>
      <c r="NEB16" t="s">
        <v>188</v>
      </c>
      <c r="NEC16" t="s">
        <v>188</v>
      </c>
      <c r="NED16" t="s">
        <v>188</v>
      </c>
      <c r="NEE16" t="s">
        <v>188</v>
      </c>
      <c r="NEF16" t="s">
        <v>188</v>
      </c>
      <c r="NEG16" t="s">
        <v>188</v>
      </c>
      <c r="NEH16" t="s">
        <v>188</v>
      </c>
      <c r="NEI16" t="s">
        <v>188</v>
      </c>
      <c r="NEJ16" t="s">
        <v>188</v>
      </c>
      <c r="NEK16" t="s">
        <v>188</v>
      </c>
      <c r="NEL16" t="s">
        <v>188</v>
      </c>
      <c r="NEM16" t="s">
        <v>188</v>
      </c>
      <c r="NEN16" t="s">
        <v>188</v>
      </c>
      <c r="NEO16" t="s">
        <v>188</v>
      </c>
      <c r="NEP16" t="s">
        <v>188</v>
      </c>
      <c r="NEQ16" t="s">
        <v>188</v>
      </c>
      <c r="NER16" t="s">
        <v>188</v>
      </c>
      <c r="NES16" t="s">
        <v>188</v>
      </c>
      <c r="NET16" t="s">
        <v>188</v>
      </c>
      <c r="NEU16" t="s">
        <v>188</v>
      </c>
      <c r="NEV16" t="s">
        <v>188</v>
      </c>
      <c r="NEW16" t="s">
        <v>188</v>
      </c>
      <c r="NEX16" t="s">
        <v>188</v>
      </c>
      <c r="NEY16" t="s">
        <v>188</v>
      </c>
      <c r="NEZ16" t="s">
        <v>188</v>
      </c>
      <c r="NFA16" t="s">
        <v>188</v>
      </c>
      <c r="NFB16" t="s">
        <v>188</v>
      </c>
      <c r="NFC16" t="s">
        <v>188</v>
      </c>
      <c r="NFD16" t="s">
        <v>188</v>
      </c>
      <c r="NFE16" t="s">
        <v>188</v>
      </c>
      <c r="NFF16" t="s">
        <v>188</v>
      </c>
      <c r="NFG16" t="s">
        <v>188</v>
      </c>
      <c r="NFH16" t="s">
        <v>188</v>
      </c>
      <c r="NFI16" t="s">
        <v>188</v>
      </c>
      <c r="NFJ16" t="s">
        <v>188</v>
      </c>
      <c r="NFK16" t="s">
        <v>188</v>
      </c>
      <c r="NFL16" t="s">
        <v>188</v>
      </c>
      <c r="NFM16" t="s">
        <v>188</v>
      </c>
      <c r="NFN16" t="s">
        <v>188</v>
      </c>
      <c r="NFO16" t="s">
        <v>188</v>
      </c>
      <c r="NFP16" t="s">
        <v>188</v>
      </c>
      <c r="NFQ16" t="s">
        <v>188</v>
      </c>
      <c r="NFR16" t="s">
        <v>188</v>
      </c>
      <c r="NFS16" t="s">
        <v>188</v>
      </c>
      <c r="NFT16" t="s">
        <v>188</v>
      </c>
      <c r="NFU16" t="s">
        <v>188</v>
      </c>
      <c r="NFV16" t="s">
        <v>188</v>
      </c>
      <c r="NFW16" t="s">
        <v>188</v>
      </c>
      <c r="NFX16" t="s">
        <v>188</v>
      </c>
      <c r="NFY16" t="s">
        <v>188</v>
      </c>
      <c r="NFZ16" t="s">
        <v>188</v>
      </c>
      <c r="NGA16" t="s">
        <v>188</v>
      </c>
      <c r="NGB16" t="s">
        <v>188</v>
      </c>
      <c r="NGC16" t="s">
        <v>188</v>
      </c>
      <c r="NGD16" t="s">
        <v>188</v>
      </c>
      <c r="NGE16" t="s">
        <v>188</v>
      </c>
      <c r="NGF16" t="s">
        <v>188</v>
      </c>
      <c r="NGG16" t="s">
        <v>188</v>
      </c>
      <c r="NGH16" t="s">
        <v>188</v>
      </c>
      <c r="NGI16" t="s">
        <v>188</v>
      </c>
      <c r="NGJ16" t="s">
        <v>188</v>
      </c>
      <c r="NGK16" t="s">
        <v>188</v>
      </c>
      <c r="NGL16" t="s">
        <v>188</v>
      </c>
      <c r="NGM16" t="s">
        <v>188</v>
      </c>
      <c r="NGN16" t="s">
        <v>188</v>
      </c>
      <c r="NGO16" t="s">
        <v>188</v>
      </c>
      <c r="NGP16" t="s">
        <v>188</v>
      </c>
      <c r="NGQ16" t="s">
        <v>188</v>
      </c>
      <c r="NGR16" t="s">
        <v>188</v>
      </c>
      <c r="NGS16" t="s">
        <v>188</v>
      </c>
      <c r="NGT16" t="s">
        <v>188</v>
      </c>
      <c r="NGU16" t="s">
        <v>188</v>
      </c>
      <c r="NGV16" t="s">
        <v>188</v>
      </c>
      <c r="NGW16" t="s">
        <v>188</v>
      </c>
      <c r="NGX16" t="s">
        <v>188</v>
      </c>
      <c r="NGY16" t="s">
        <v>188</v>
      </c>
      <c r="NGZ16" t="s">
        <v>188</v>
      </c>
      <c r="NHA16" t="s">
        <v>188</v>
      </c>
      <c r="NHB16" t="s">
        <v>188</v>
      </c>
      <c r="NHC16" t="s">
        <v>188</v>
      </c>
      <c r="NHD16" t="s">
        <v>188</v>
      </c>
      <c r="NHE16" t="s">
        <v>188</v>
      </c>
      <c r="NHF16" t="s">
        <v>188</v>
      </c>
      <c r="NHG16" t="s">
        <v>188</v>
      </c>
      <c r="NHH16" t="s">
        <v>188</v>
      </c>
      <c r="NHI16" t="s">
        <v>188</v>
      </c>
      <c r="NHJ16" t="s">
        <v>188</v>
      </c>
      <c r="NHK16" t="s">
        <v>188</v>
      </c>
      <c r="NHL16" t="s">
        <v>188</v>
      </c>
      <c r="NHM16" t="s">
        <v>188</v>
      </c>
      <c r="NHN16" t="s">
        <v>188</v>
      </c>
      <c r="NHO16" t="s">
        <v>188</v>
      </c>
      <c r="NHP16" t="s">
        <v>188</v>
      </c>
      <c r="NHQ16" t="s">
        <v>188</v>
      </c>
      <c r="NHR16" t="s">
        <v>188</v>
      </c>
      <c r="NHS16" t="s">
        <v>188</v>
      </c>
      <c r="NHT16" t="s">
        <v>188</v>
      </c>
      <c r="NHU16" t="s">
        <v>188</v>
      </c>
      <c r="NHV16" t="s">
        <v>188</v>
      </c>
      <c r="NHW16" t="s">
        <v>188</v>
      </c>
      <c r="NHX16" t="s">
        <v>188</v>
      </c>
      <c r="NHY16" t="s">
        <v>188</v>
      </c>
      <c r="NHZ16" t="s">
        <v>188</v>
      </c>
      <c r="NIA16" t="s">
        <v>188</v>
      </c>
      <c r="NIB16" t="s">
        <v>188</v>
      </c>
      <c r="NIC16" t="s">
        <v>188</v>
      </c>
      <c r="NID16" t="s">
        <v>188</v>
      </c>
      <c r="NIE16" t="s">
        <v>188</v>
      </c>
      <c r="NIF16" t="s">
        <v>188</v>
      </c>
      <c r="NIG16" t="s">
        <v>188</v>
      </c>
      <c r="NIH16" t="s">
        <v>188</v>
      </c>
      <c r="NII16" t="s">
        <v>188</v>
      </c>
      <c r="NIJ16" t="s">
        <v>188</v>
      </c>
      <c r="NIK16" t="s">
        <v>188</v>
      </c>
      <c r="NIL16" t="s">
        <v>188</v>
      </c>
      <c r="NIM16" t="s">
        <v>188</v>
      </c>
      <c r="NIN16" t="s">
        <v>188</v>
      </c>
      <c r="NIO16" t="s">
        <v>188</v>
      </c>
      <c r="NIP16" t="s">
        <v>188</v>
      </c>
      <c r="NIQ16" t="s">
        <v>188</v>
      </c>
      <c r="NIR16" t="s">
        <v>188</v>
      </c>
      <c r="NIS16" t="s">
        <v>188</v>
      </c>
      <c r="NIT16" t="s">
        <v>188</v>
      </c>
      <c r="NIU16" t="s">
        <v>188</v>
      </c>
      <c r="NIV16" t="s">
        <v>188</v>
      </c>
      <c r="NIW16" t="s">
        <v>188</v>
      </c>
      <c r="NIX16" t="s">
        <v>188</v>
      </c>
      <c r="NIY16" t="s">
        <v>188</v>
      </c>
      <c r="NIZ16" t="s">
        <v>188</v>
      </c>
      <c r="NJA16" t="s">
        <v>188</v>
      </c>
      <c r="NJB16" t="s">
        <v>188</v>
      </c>
      <c r="NJC16" t="s">
        <v>188</v>
      </c>
      <c r="NJD16" t="s">
        <v>188</v>
      </c>
      <c r="NJE16" t="s">
        <v>188</v>
      </c>
      <c r="NJF16" t="s">
        <v>188</v>
      </c>
      <c r="NJG16" t="s">
        <v>188</v>
      </c>
      <c r="NJH16" t="s">
        <v>188</v>
      </c>
      <c r="NJI16" t="s">
        <v>188</v>
      </c>
      <c r="NJJ16" t="s">
        <v>188</v>
      </c>
      <c r="NJK16" t="s">
        <v>188</v>
      </c>
      <c r="NJL16" t="s">
        <v>188</v>
      </c>
      <c r="NJM16" t="s">
        <v>188</v>
      </c>
      <c r="NJN16" t="s">
        <v>188</v>
      </c>
      <c r="NJO16" t="s">
        <v>188</v>
      </c>
      <c r="NJP16" t="s">
        <v>188</v>
      </c>
      <c r="NJQ16" t="s">
        <v>188</v>
      </c>
      <c r="NJR16" t="s">
        <v>188</v>
      </c>
      <c r="NJS16" t="s">
        <v>188</v>
      </c>
      <c r="NJT16" t="s">
        <v>188</v>
      </c>
      <c r="NJU16" t="s">
        <v>188</v>
      </c>
      <c r="NJV16" t="s">
        <v>188</v>
      </c>
      <c r="NJW16" t="s">
        <v>188</v>
      </c>
      <c r="NJX16" t="s">
        <v>188</v>
      </c>
      <c r="NJY16" t="s">
        <v>188</v>
      </c>
      <c r="NJZ16" t="s">
        <v>188</v>
      </c>
      <c r="NKA16" t="s">
        <v>188</v>
      </c>
      <c r="NKB16" t="s">
        <v>188</v>
      </c>
      <c r="NKC16" t="s">
        <v>188</v>
      </c>
      <c r="NKD16" t="s">
        <v>188</v>
      </c>
      <c r="NKE16" t="s">
        <v>188</v>
      </c>
      <c r="NKF16" t="s">
        <v>188</v>
      </c>
      <c r="NKG16" t="s">
        <v>188</v>
      </c>
      <c r="NKH16" t="s">
        <v>188</v>
      </c>
      <c r="NKI16" t="s">
        <v>188</v>
      </c>
      <c r="NKJ16" t="s">
        <v>188</v>
      </c>
      <c r="NKK16" t="s">
        <v>188</v>
      </c>
      <c r="NKL16" t="s">
        <v>188</v>
      </c>
      <c r="NKM16" t="s">
        <v>188</v>
      </c>
      <c r="NKN16" t="s">
        <v>188</v>
      </c>
      <c r="NKO16" t="s">
        <v>188</v>
      </c>
      <c r="NKP16" t="s">
        <v>188</v>
      </c>
      <c r="NKQ16" t="s">
        <v>188</v>
      </c>
      <c r="NKR16" t="s">
        <v>188</v>
      </c>
      <c r="NKS16" t="s">
        <v>188</v>
      </c>
      <c r="NKT16" t="s">
        <v>188</v>
      </c>
      <c r="NKU16" t="s">
        <v>188</v>
      </c>
      <c r="NKV16" t="s">
        <v>188</v>
      </c>
      <c r="NKW16" t="s">
        <v>188</v>
      </c>
      <c r="NKX16" t="s">
        <v>188</v>
      </c>
      <c r="NKY16" t="s">
        <v>188</v>
      </c>
      <c r="NKZ16" t="s">
        <v>188</v>
      </c>
      <c r="NLA16" t="s">
        <v>188</v>
      </c>
      <c r="NLB16" t="s">
        <v>188</v>
      </c>
      <c r="NLC16" t="s">
        <v>188</v>
      </c>
      <c r="NLD16" t="s">
        <v>188</v>
      </c>
      <c r="NLE16" t="s">
        <v>188</v>
      </c>
      <c r="NLF16" t="s">
        <v>188</v>
      </c>
      <c r="NLG16" t="s">
        <v>188</v>
      </c>
      <c r="NLH16" t="s">
        <v>188</v>
      </c>
      <c r="NLI16" t="s">
        <v>188</v>
      </c>
      <c r="NLJ16" t="s">
        <v>188</v>
      </c>
      <c r="NLK16" t="s">
        <v>188</v>
      </c>
      <c r="NLL16" t="s">
        <v>188</v>
      </c>
      <c r="NLM16" t="s">
        <v>188</v>
      </c>
      <c r="NLN16" t="s">
        <v>188</v>
      </c>
      <c r="NLO16" t="s">
        <v>188</v>
      </c>
      <c r="NLP16" t="s">
        <v>188</v>
      </c>
      <c r="NLQ16" t="s">
        <v>188</v>
      </c>
      <c r="NLR16" t="s">
        <v>188</v>
      </c>
      <c r="NLS16" t="s">
        <v>188</v>
      </c>
      <c r="NLT16" t="s">
        <v>188</v>
      </c>
      <c r="NLU16" t="s">
        <v>188</v>
      </c>
      <c r="NLV16" t="s">
        <v>188</v>
      </c>
      <c r="NLW16" t="s">
        <v>188</v>
      </c>
      <c r="NLX16" t="s">
        <v>188</v>
      </c>
      <c r="NLY16" t="s">
        <v>188</v>
      </c>
      <c r="NLZ16" t="s">
        <v>188</v>
      </c>
      <c r="NMA16" t="s">
        <v>188</v>
      </c>
      <c r="NMB16" t="s">
        <v>188</v>
      </c>
      <c r="NMC16" t="s">
        <v>188</v>
      </c>
      <c r="NMD16" t="s">
        <v>188</v>
      </c>
      <c r="NME16" t="s">
        <v>188</v>
      </c>
      <c r="NMF16" t="s">
        <v>188</v>
      </c>
      <c r="NMG16" t="s">
        <v>188</v>
      </c>
      <c r="NMH16" t="s">
        <v>188</v>
      </c>
      <c r="NMI16" t="s">
        <v>188</v>
      </c>
      <c r="NMJ16" t="s">
        <v>188</v>
      </c>
      <c r="NMK16" t="s">
        <v>188</v>
      </c>
      <c r="NML16" t="s">
        <v>188</v>
      </c>
      <c r="NMM16" t="s">
        <v>188</v>
      </c>
      <c r="NMN16" t="s">
        <v>188</v>
      </c>
      <c r="NMO16" t="s">
        <v>188</v>
      </c>
      <c r="NMP16" t="s">
        <v>188</v>
      </c>
      <c r="NMQ16" t="s">
        <v>188</v>
      </c>
      <c r="NMR16" t="s">
        <v>188</v>
      </c>
      <c r="NMS16" t="s">
        <v>188</v>
      </c>
      <c r="NMT16" t="s">
        <v>188</v>
      </c>
      <c r="NMU16" t="s">
        <v>188</v>
      </c>
      <c r="NMV16" t="s">
        <v>188</v>
      </c>
      <c r="NMW16" t="s">
        <v>188</v>
      </c>
      <c r="NMX16" t="s">
        <v>188</v>
      </c>
      <c r="NMY16" t="s">
        <v>188</v>
      </c>
      <c r="NMZ16" t="s">
        <v>188</v>
      </c>
      <c r="NNA16" t="s">
        <v>188</v>
      </c>
      <c r="NNB16" t="s">
        <v>188</v>
      </c>
      <c r="NNC16" t="s">
        <v>188</v>
      </c>
      <c r="NND16" t="s">
        <v>188</v>
      </c>
      <c r="NNE16" t="s">
        <v>188</v>
      </c>
      <c r="NNF16" t="s">
        <v>188</v>
      </c>
      <c r="NNG16" t="s">
        <v>188</v>
      </c>
      <c r="NNH16" t="s">
        <v>188</v>
      </c>
      <c r="NNI16" t="s">
        <v>188</v>
      </c>
      <c r="NNJ16" t="s">
        <v>188</v>
      </c>
      <c r="NNK16" t="s">
        <v>188</v>
      </c>
      <c r="NNL16" t="s">
        <v>188</v>
      </c>
      <c r="NNM16" t="s">
        <v>188</v>
      </c>
      <c r="NNN16" t="s">
        <v>188</v>
      </c>
      <c r="NNO16" t="s">
        <v>188</v>
      </c>
      <c r="NNP16" t="s">
        <v>188</v>
      </c>
      <c r="NNQ16" t="s">
        <v>188</v>
      </c>
      <c r="NNR16" t="s">
        <v>188</v>
      </c>
      <c r="NNS16" t="s">
        <v>188</v>
      </c>
      <c r="NNT16" t="s">
        <v>188</v>
      </c>
      <c r="NNU16" t="s">
        <v>188</v>
      </c>
      <c r="NNV16" t="s">
        <v>188</v>
      </c>
      <c r="NNW16" t="s">
        <v>188</v>
      </c>
      <c r="NNX16" t="s">
        <v>188</v>
      </c>
      <c r="NNY16" t="s">
        <v>188</v>
      </c>
      <c r="NNZ16" t="s">
        <v>188</v>
      </c>
      <c r="NOA16" t="s">
        <v>188</v>
      </c>
      <c r="NOB16" t="s">
        <v>188</v>
      </c>
      <c r="NOC16" t="s">
        <v>188</v>
      </c>
      <c r="NOD16" t="s">
        <v>188</v>
      </c>
      <c r="NOE16" t="s">
        <v>188</v>
      </c>
      <c r="NOF16" t="s">
        <v>188</v>
      </c>
      <c r="NOG16" t="s">
        <v>188</v>
      </c>
      <c r="NOH16" t="s">
        <v>188</v>
      </c>
      <c r="NOI16" t="s">
        <v>188</v>
      </c>
      <c r="NOJ16" t="s">
        <v>188</v>
      </c>
      <c r="NOK16" t="s">
        <v>188</v>
      </c>
      <c r="NOL16" t="s">
        <v>188</v>
      </c>
      <c r="NOM16" t="s">
        <v>188</v>
      </c>
      <c r="NON16" t="s">
        <v>188</v>
      </c>
      <c r="NOO16" t="s">
        <v>188</v>
      </c>
      <c r="NOP16" t="s">
        <v>188</v>
      </c>
      <c r="NOQ16" t="s">
        <v>188</v>
      </c>
      <c r="NOR16" t="s">
        <v>188</v>
      </c>
      <c r="NOS16" t="s">
        <v>188</v>
      </c>
      <c r="NOT16" t="s">
        <v>188</v>
      </c>
      <c r="NOU16" t="s">
        <v>188</v>
      </c>
      <c r="NOV16" t="s">
        <v>188</v>
      </c>
      <c r="NOW16" t="s">
        <v>188</v>
      </c>
      <c r="NOX16" t="s">
        <v>188</v>
      </c>
      <c r="NOY16" t="s">
        <v>188</v>
      </c>
      <c r="NOZ16" t="s">
        <v>188</v>
      </c>
      <c r="NPA16" t="s">
        <v>188</v>
      </c>
      <c r="NPB16" t="s">
        <v>188</v>
      </c>
      <c r="NPC16" t="s">
        <v>188</v>
      </c>
      <c r="NPD16" t="s">
        <v>188</v>
      </c>
      <c r="NPE16" t="s">
        <v>188</v>
      </c>
      <c r="NPF16" t="s">
        <v>188</v>
      </c>
      <c r="NPG16" t="s">
        <v>188</v>
      </c>
      <c r="NPH16" t="s">
        <v>188</v>
      </c>
      <c r="NPI16" t="s">
        <v>188</v>
      </c>
      <c r="NPJ16" t="s">
        <v>188</v>
      </c>
      <c r="NPK16" t="s">
        <v>188</v>
      </c>
      <c r="NPL16" t="s">
        <v>188</v>
      </c>
      <c r="NPM16" t="s">
        <v>188</v>
      </c>
      <c r="NPN16" t="s">
        <v>188</v>
      </c>
      <c r="NPO16" t="s">
        <v>188</v>
      </c>
      <c r="NPP16" t="s">
        <v>188</v>
      </c>
      <c r="NPQ16" t="s">
        <v>188</v>
      </c>
      <c r="NPR16" t="s">
        <v>188</v>
      </c>
      <c r="NPS16" t="s">
        <v>188</v>
      </c>
      <c r="NPT16" t="s">
        <v>188</v>
      </c>
      <c r="NPU16" t="s">
        <v>188</v>
      </c>
      <c r="NPV16" t="s">
        <v>188</v>
      </c>
      <c r="NPW16" t="s">
        <v>188</v>
      </c>
      <c r="NPX16" t="s">
        <v>188</v>
      </c>
      <c r="NPY16" t="s">
        <v>188</v>
      </c>
      <c r="NPZ16" t="s">
        <v>188</v>
      </c>
      <c r="NQA16" t="s">
        <v>188</v>
      </c>
      <c r="NQB16" t="s">
        <v>188</v>
      </c>
      <c r="NQC16" t="s">
        <v>188</v>
      </c>
      <c r="NQD16" t="s">
        <v>188</v>
      </c>
      <c r="NQE16" t="s">
        <v>188</v>
      </c>
      <c r="NQF16" t="s">
        <v>188</v>
      </c>
      <c r="NQG16" t="s">
        <v>188</v>
      </c>
      <c r="NQH16" t="s">
        <v>188</v>
      </c>
      <c r="NQI16" t="s">
        <v>188</v>
      </c>
      <c r="NQJ16" t="s">
        <v>188</v>
      </c>
      <c r="NQK16" t="s">
        <v>188</v>
      </c>
      <c r="NQL16" t="s">
        <v>188</v>
      </c>
      <c r="NQM16" t="s">
        <v>188</v>
      </c>
      <c r="NQN16" t="s">
        <v>188</v>
      </c>
      <c r="NQO16" t="s">
        <v>188</v>
      </c>
      <c r="NQP16" t="s">
        <v>188</v>
      </c>
      <c r="NQQ16" t="s">
        <v>188</v>
      </c>
      <c r="NQR16" t="s">
        <v>188</v>
      </c>
      <c r="NQS16" t="s">
        <v>188</v>
      </c>
      <c r="NQT16" t="s">
        <v>188</v>
      </c>
      <c r="NQU16" t="s">
        <v>188</v>
      </c>
      <c r="NQV16" t="s">
        <v>188</v>
      </c>
      <c r="NQW16" t="s">
        <v>188</v>
      </c>
      <c r="NQX16" t="s">
        <v>188</v>
      </c>
      <c r="NQY16" t="s">
        <v>188</v>
      </c>
      <c r="NQZ16" t="s">
        <v>188</v>
      </c>
      <c r="NRA16" t="s">
        <v>188</v>
      </c>
      <c r="NRB16" t="s">
        <v>188</v>
      </c>
      <c r="NRC16" t="s">
        <v>188</v>
      </c>
      <c r="NRD16" t="s">
        <v>188</v>
      </c>
      <c r="NRE16" t="s">
        <v>188</v>
      </c>
      <c r="NRF16" t="s">
        <v>188</v>
      </c>
      <c r="NRG16" t="s">
        <v>188</v>
      </c>
      <c r="NRH16" t="s">
        <v>188</v>
      </c>
      <c r="NRI16" t="s">
        <v>188</v>
      </c>
      <c r="NRJ16" t="s">
        <v>188</v>
      </c>
      <c r="NRK16" t="s">
        <v>188</v>
      </c>
      <c r="NRL16" t="s">
        <v>188</v>
      </c>
      <c r="NRM16" t="s">
        <v>188</v>
      </c>
      <c r="NRN16" t="s">
        <v>188</v>
      </c>
      <c r="NRO16" t="s">
        <v>188</v>
      </c>
      <c r="NRP16" t="s">
        <v>188</v>
      </c>
      <c r="NRQ16" t="s">
        <v>188</v>
      </c>
      <c r="NRR16" t="s">
        <v>188</v>
      </c>
      <c r="NRS16" t="s">
        <v>188</v>
      </c>
      <c r="NRT16" t="s">
        <v>188</v>
      </c>
      <c r="NRU16" t="s">
        <v>188</v>
      </c>
      <c r="NRV16" t="s">
        <v>188</v>
      </c>
      <c r="NRW16" t="s">
        <v>188</v>
      </c>
      <c r="NRX16" t="s">
        <v>188</v>
      </c>
      <c r="NRY16" t="s">
        <v>188</v>
      </c>
      <c r="NRZ16" t="s">
        <v>188</v>
      </c>
      <c r="NSA16" t="s">
        <v>188</v>
      </c>
      <c r="NSB16" t="s">
        <v>188</v>
      </c>
      <c r="NSC16" t="s">
        <v>188</v>
      </c>
      <c r="NSD16" t="s">
        <v>188</v>
      </c>
      <c r="NSE16" t="s">
        <v>188</v>
      </c>
      <c r="NSF16" t="s">
        <v>188</v>
      </c>
      <c r="NSG16" t="s">
        <v>188</v>
      </c>
      <c r="NSH16" t="s">
        <v>188</v>
      </c>
      <c r="NSI16" t="s">
        <v>188</v>
      </c>
      <c r="NSJ16" t="s">
        <v>188</v>
      </c>
      <c r="NSK16" t="s">
        <v>188</v>
      </c>
      <c r="NSL16" t="s">
        <v>188</v>
      </c>
      <c r="NSM16" t="s">
        <v>188</v>
      </c>
      <c r="NSN16" t="s">
        <v>188</v>
      </c>
      <c r="NSO16" t="s">
        <v>188</v>
      </c>
      <c r="NSP16" t="s">
        <v>188</v>
      </c>
      <c r="NSQ16" t="s">
        <v>188</v>
      </c>
      <c r="NSR16" t="s">
        <v>188</v>
      </c>
      <c r="NSS16" t="s">
        <v>188</v>
      </c>
      <c r="NST16" t="s">
        <v>188</v>
      </c>
      <c r="NSU16" t="s">
        <v>188</v>
      </c>
      <c r="NSV16" t="s">
        <v>188</v>
      </c>
      <c r="NSW16" t="s">
        <v>188</v>
      </c>
      <c r="NSX16" t="s">
        <v>188</v>
      </c>
      <c r="NSY16" t="s">
        <v>188</v>
      </c>
      <c r="NSZ16" t="s">
        <v>188</v>
      </c>
      <c r="NTA16" t="s">
        <v>188</v>
      </c>
      <c r="NTB16" t="s">
        <v>188</v>
      </c>
      <c r="NTC16" t="s">
        <v>188</v>
      </c>
      <c r="NTD16" t="s">
        <v>188</v>
      </c>
      <c r="NTE16" t="s">
        <v>188</v>
      </c>
      <c r="NTF16" t="s">
        <v>188</v>
      </c>
      <c r="NTG16" t="s">
        <v>188</v>
      </c>
      <c r="NTH16" t="s">
        <v>188</v>
      </c>
      <c r="NTI16" t="s">
        <v>188</v>
      </c>
      <c r="NTJ16" t="s">
        <v>188</v>
      </c>
      <c r="NTK16" t="s">
        <v>188</v>
      </c>
      <c r="NTL16" t="s">
        <v>188</v>
      </c>
      <c r="NTM16" t="s">
        <v>188</v>
      </c>
      <c r="NTN16" t="s">
        <v>188</v>
      </c>
      <c r="NTO16" t="s">
        <v>188</v>
      </c>
      <c r="NTP16" t="s">
        <v>188</v>
      </c>
      <c r="NTQ16" t="s">
        <v>188</v>
      </c>
      <c r="NTR16" t="s">
        <v>188</v>
      </c>
      <c r="NTS16" t="s">
        <v>188</v>
      </c>
      <c r="NTT16" t="s">
        <v>188</v>
      </c>
      <c r="NTU16" t="s">
        <v>188</v>
      </c>
      <c r="NTV16" t="s">
        <v>188</v>
      </c>
      <c r="NTW16" t="s">
        <v>188</v>
      </c>
      <c r="NTX16" t="s">
        <v>188</v>
      </c>
      <c r="NTY16" t="s">
        <v>188</v>
      </c>
      <c r="NTZ16" t="s">
        <v>188</v>
      </c>
      <c r="NUA16" t="s">
        <v>188</v>
      </c>
      <c r="NUB16" t="s">
        <v>188</v>
      </c>
      <c r="NUC16" t="s">
        <v>188</v>
      </c>
      <c r="NUD16" t="s">
        <v>188</v>
      </c>
      <c r="NUE16" t="s">
        <v>188</v>
      </c>
      <c r="NUF16" t="s">
        <v>188</v>
      </c>
      <c r="NUG16" t="s">
        <v>188</v>
      </c>
      <c r="NUH16" t="s">
        <v>188</v>
      </c>
      <c r="NUI16" t="s">
        <v>188</v>
      </c>
      <c r="NUJ16" t="s">
        <v>188</v>
      </c>
      <c r="NUK16" t="s">
        <v>188</v>
      </c>
      <c r="NUL16" t="s">
        <v>188</v>
      </c>
      <c r="NUM16" t="s">
        <v>188</v>
      </c>
      <c r="NUN16" t="s">
        <v>188</v>
      </c>
      <c r="NUO16" t="s">
        <v>188</v>
      </c>
      <c r="NUP16" t="s">
        <v>188</v>
      </c>
      <c r="NUQ16" t="s">
        <v>188</v>
      </c>
      <c r="NUR16" t="s">
        <v>188</v>
      </c>
      <c r="NUS16" t="s">
        <v>188</v>
      </c>
      <c r="NUT16" t="s">
        <v>188</v>
      </c>
      <c r="NUU16" t="s">
        <v>188</v>
      </c>
      <c r="NUV16" t="s">
        <v>188</v>
      </c>
      <c r="NUW16" t="s">
        <v>188</v>
      </c>
      <c r="NUX16" t="s">
        <v>188</v>
      </c>
      <c r="NUY16" t="s">
        <v>188</v>
      </c>
      <c r="NUZ16" t="s">
        <v>188</v>
      </c>
      <c r="NVA16" t="s">
        <v>188</v>
      </c>
      <c r="NVB16" t="s">
        <v>188</v>
      </c>
      <c r="NVC16" t="s">
        <v>188</v>
      </c>
      <c r="NVD16" t="s">
        <v>188</v>
      </c>
      <c r="NVE16" t="s">
        <v>188</v>
      </c>
      <c r="NVF16" t="s">
        <v>188</v>
      </c>
      <c r="NVG16" t="s">
        <v>188</v>
      </c>
      <c r="NVH16" t="s">
        <v>188</v>
      </c>
      <c r="NVI16" t="s">
        <v>188</v>
      </c>
      <c r="NVJ16" t="s">
        <v>188</v>
      </c>
      <c r="NVK16" t="s">
        <v>188</v>
      </c>
      <c r="NVL16" t="s">
        <v>188</v>
      </c>
      <c r="NVM16" t="s">
        <v>188</v>
      </c>
      <c r="NVN16" t="s">
        <v>188</v>
      </c>
      <c r="NVO16" t="s">
        <v>188</v>
      </c>
      <c r="NVP16" t="s">
        <v>188</v>
      </c>
      <c r="NVQ16" t="s">
        <v>188</v>
      </c>
      <c r="NVR16" t="s">
        <v>188</v>
      </c>
      <c r="NVS16" t="s">
        <v>188</v>
      </c>
      <c r="NVT16" t="s">
        <v>188</v>
      </c>
      <c r="NVU16" t="s">
        <v>188</v>
      </c>
      <c r="NVV16" t="s">
        <v>188</v>
      </c>
      <c r="NVW16" t="s">
        <v>188</v>
      </c>
      <c r="NVX16" t="s">
        <v>188</v>
      </c>
      <c r="NVY16" t="s">
        <v>188</v>
      </c>
      <c r="NVZ16" t="s">
        <v>188</v>
      </c>
      <c r="NWA16" t="s">
        <v>188</v>
      </c>
      <c r="NWB16" t="s">
        <v>188</v>
      </c>
      <c r="NWC16" t="s">
        <v>188</v>
      </c>
      <c r="NWD16" t="s">
        <v>188</v>
      </c>
      <c r="NWE16" t="s">
        <v>188</v>
      </c>
      <c r="NWF16" t="s">
        <v>188</v>
      </c>
      <c r="NWG16" t="s">
        <v>188</v>
      </c>
      <c r="NWH16" t="s">
        <v>188</v>
      </c>
      <c r="NWI16" t="s">
        <v>188</v>
      </c>
      <c r="NWJ16" t="s">
        <v>188</v>
      </c>
      <c r="NWK16" t="s">
        <v>188</v>
      </c>
      <c r="NWL16" t="s">
        <v>188</v>
      </c>
      <c r="NWM16" t="s">
        <v>188</v>
      </c>
      <c r="NWN16" t="s">
        <v>188</v>
      </c>
      <c r="NWO16" t="s">
        <v>188</v>
      </c>
      <c r="NWP16" t="s">
        <v>188</v>
      </c>
      <c r="NWQ16" t="s">
        <v>188</v>
      </c>
      <c r="NWR16" t="s">
        <v>188</v>
      </c>
      <c r="NWS16" t="s">
        <v>188</v>
      </c>
      <c r="NWT16" t="s">
        <v>188</v>
      </c>
      <c r="NWU16" t="s">
        <v>188</v>
      </c>
      <c r="NWV16" t="s">
        <v>188</v>
      </c>
      <c r="NWW16" t="s">
        <v>188</v>
      </c>
      <c r="NWX16" t="s">
        <v>188</v>
      </c>
      <c r="NWY16" t="s">
        <v>188</v>
      </c>
      <c r="NWZ16" t="s">
        <v>188</v>
      </c>
      <c r="NXA16" t="s">
        <v>188</v>
      </c>
      <c r="NXB16" t="s">
        <v>188</v>
      </c>
      <c r="NXC16" t="s">
        <v>188</v>
      </c>
      <c r="NXD16" t="s">
        <v>188</v>
      </c>
      <c r="NXE16" t="s">
        <v>188</v>
      </c>
      <c r="NXF16" t="s">
        <v>188</v>
      </c>
      <c r="NXG16" t="s">
        <v>188</v>
      </c>
      <c r="NXH16" t="s">
        <v>188</v>
      </c>
      <c r="NXI16" t="s">
        <v>188</v>
      </c>
      <c r="NXJ16" t="s">
        <v>188</v>
      </c>
      <c r="NXK16" t="s">
        <v>188</v>
      </c>
      <c r="NXL16" t="s">
        <v>188</v>
      </c>
      <c r="NXM16" t="s">
        <v>188</v>
      </c>
      <c r="NXN16" t="s">
        <v>188</v>
      </c>
      <c r="NXO16" t="s">
        <v>188</v>
      </c>
      <c r="NXP16" t="s">
        <v>188</v>
      </c>
      <c r="NXQ16" t="s">
        <v>188</v>
      </c>
      <c r="NXR16" t="s">
        <v>188</v>
      </c>
      <c r="NXS16" t="s">
        <v>188</v>
      </c>
      <c r="NXT16" t="s">
        <v>188</v>
      </c>
      <c r="NXU16" t="s">
        <v>188</v>
      </c>
      <c r="NXV16" t="s">
        <v>188</v>
      </c>
      <c r="NXW16" t="s">
        <v>188</v>
      </c>
      <c r="NXX16" t="s">
        <v>188</v>
      </c>
      <c r="NXY16" t="s">
        <v>188</v>
      </c>
      <c r="NXZ16" t="s">
        <v>188</v>
      </c>
      <c r="NYA16" t="s">
        <v>188</v>
      </c>
      <c r="NYB16" t="s">
        <v>188</v>
      </c>
      <c r="NYC16" t="s">
        <v>188</v>
      </c>
      <c r="NYD16" t="s">
        <v>188</v>
      </c>
      <c r="NYE16" t="s">
        <v>188</v>
      </c>
      <c r="NYF16" t="s">
        <v>188</v>
      </c>
      <c r="NYG16" t="s">
        <v>188</v>
      </c>
      <c r="NYH16" t="s">
        <v>188</v>
      </c>
      <c r="NYI16" t="s">
        <v>188</v>
      </c>
      <c r="NYJ16" t="s">
        <v>188</v>
      </c>
      <c r="NYK16" t="s">
        <v>188</v>
      </c>
      <c r="NYL16" t="s">
        <v>188</v>
      </c>
      <c r="NYM16" t="s">
        <v>188</v>
      </c>
      <c r="NYN16" t="s">
        <v>188</v>
      </c>
      <c r="NYO16" t="s">
        <v>188</v>
      </c>
      <c r="NYP16" t="s">
        <v>188</v>
      </c>
      <c r="NYQ16" t="s">
        <v>188</v>
      </c>
      <c r="NYR16" t="s">
        <v>188</v>
      </c>
      <c r="NYS16" t="s">
        <v>188</v>
      </c>
      <c r="NYT16" t="s">
        <v>188</v>
      </c>
      <c r="NYU16" t="s">
        <v>188</v>
      </c>
      <c r="NYV16" t="s">
        <v>188</v>
      </c>
      <c r="NYW16" t="s">
        <v>188</v>
      </c>
      <c r="NYX16" t="s">
        <v>188</v>
      </c>
      <c r="NYY16" t="s">
        <v>188</v>
      </c>
      <c r="NYZ16" t="s">
        <v>188</v>
      </c>
      <c r="NZA16" t="s">
        <v>188</v>
      </c>
      <c r="NZB16" t="s">
        <v>188</v>
      </c>
      <c r="NZC16" t="s">
        <v>188</v>
      </c>
      <c r="NZD16" t="s">
        <v>188</v>
      </c>
      <c r="NZE16" t="s">
        <v>188</v>
      </c>
      <c r="NZF16" t="s">
        <v>188</v>
      </c>
      <c r="NZG16" t="s">
        <v>188</v>
      </c>
      <c r="NZH16" t="s">
        <v>188</v>
      </c>
      <c r="NZI16" t="s">
        <v>188</v>
      </c>
      <c r="NZJ16" t="s">
        <v>188</v>
      </c>
      <c r="NZK16" t="s">
        <v>188</v>
      </c>
      <c r="NZL16" t="s">
        <v>188</v>
      </c>
      <c r="NZM16" t="s">
        <v>188</v>
      </c>
      <c r="NZN16" t="s">
        <v>188</v>
      </c>
      <c r="NZO16" t="s">
        <v>188</v>
      </c>
      <c r="NZP16" t="s">
        <v>188</v>
      </c>
      <c r="NZQ16" t="s">
        <v>188</v>
      </c>
      <c r="NZR16" t="s">
        <v>188</v>
      </c>
      <c r="NZS16" t="s">
        <v>188</v>
      </c>
      <c r="NZT16" t="s">
        <v>188</v>
      </c>
      <c r="NZU16" t="s">
        <v>188</v>
      </c>
      <c r="NZV16" t="s">
        <v>188</v>
      </c>
      <c r="NZW16" t="s">
        <v>188</v>
      </c>
      <c r="NZX16" t="s">
        <v>188</v>
      </c>
      <c r="NZY16" t="s">
        <v>188</v>
      </c>
      <c r="NZZ16" t="s">
        <v>188</v>
      </c>
      <c r="OAA16" t="s">
        <v>188</v>
      </c>
      <c r="OAB16" t="s">
        <v>188</v>
      </c>
      <c r="OAC16" t="s">
        <v>188</v>
      </c>
      <c r="OAD16" t="s">
        <v>188</v>
      </c>
      <c r="OAE16" t="s">
        <v>188</v>
      </c>
      <c r="OAF16" t="s">
        <v>188</v>
      </c>
      <c r="OAG16" t="s">
        <v>188</v>
      </c>
      <c r="OAH16" t="s">
        <v>188</v>
      </c>
      <c r="OAI16" t="s">
        <v>188</v>
      </c>
      <c r="OAJ16" t="s">
        <v>188</v>
      </c>
      <c r="OAK16" t="s">
        <v>188</v>
      </c>
      <c r="OAL16" t="s">
        <v>188</v>
      </c>
      <c r="OAM16" t="s">
        <v>188</v>
      </c>
      <c r="OAN16" t="s">
        <v>188</v>
      </c>
      <c r="OAO16" t="s">
        <v>188</v>
      </c>
      <c r="OAP16" t="s">
        <v>188</v>
      </c>
      <c r="OAQ16" t="s">
        <v>188</v>
      </c>
      <c r="OAR16" t="s">
        <v>188</v>
      </c>
      <c r="OAS16" t="s">
        <v>188</v>
      </c>
      <c r="OAT16" t="s">
        <v>188</v>
      </c>
      <c r="OAU16" t="s">
        <v>188</v>
      </c>
      <c r="OAV16" t="s">
        <v>188</v>
      </c>
      <c r="OAW16" t="s">
        <v>188</v>
      </c>
      <c r="OAX16" t="s">
        <v>188</v>
      </c>
      <c r="OAY16" t="s">
        <v>188</v>
      </c>
      <c r="OAZ16" t="s">
        <v>188</v>
      </c>
      <c r="OBA16" t="s">
        <v>188</v>
      </c>
      <c r="OBB16" t="s">
        <v>188</v>
      </c>
      <c r="OBC16" t="s">
        <v>188</v>
      </c>
      <c r="OBD16" t="s">
        <v>188</v>
      </c>
      <c r="OBE16" t="s">
        <v>188</v>
      </c>
      <c r="OBF16" t="s">
        <v>188</v>
      </c>
      <c r="OBG16" t="s">
        <v>188</v>
      </c>
      <c r="OBH16" t="s">
        <v>188</v>
      </c>
      <c r="OBI16" t="s">
        <v>188</v>
      </c>
      <c r="OBJ16" t="s">
        <v>188</v>
      </c>
      <c r="OBK16" t="s">
        <v>188</v>
      </c>
      <c r="OBL16" t="s">
        <v>188</v>
      </c>
      <c r="OBM16" t="s">
        <v>188</v>
      </c>
      <c r="OBN16" t="s">
        <v>188</v>
      </c>
      <c r="OBO16" t="s">
        <v>188</v>
      </c>
      <c r="OBP16" t="s">
        <v>188</v>
      </c>
      <c r="OBQ16" t="s">
        <v>188</v>
      </c>
      <c r="OBR16" t="s">
        <v>188</v>
      </c>
      <c r="OBS16" t="s">
        <v>188</v>
      </c>
      <c r="OBT16" t="s">
        <v>188</v>
      </c>
      <c r="OBU16" t="s">
        <v>188</v>
      </c>
      <c r="OBV16" t="s">
        <v>188</v>
      </c>
      <c r="OBW16" t="s">
        <v>188</v>
      </c>
      <c r="OBX16" t="s">
        <v>188</v>
      </c>
      <c r="OBY16" t="s">
        <v>188</v>
      </c>
      <c r="OBZ16" t="s">
        <v>188</v>
      </c>
      <c r="OCA16" t="s">
        <v>188</v>
      </c>
      <c r="OCB16" t="s">
        <v>188</v>
      </c>
      <c r="OCC16" t="s">
        <v>188</v>
      </c>
      <c r="OCD16" t="s">
        <v>188</v>
      </c>
      <c r="OCE16" t="s">
        <v>188</v>
      </c>
      <c r="OCF16" t="s">
        <v>188</v>
      </c>
      <c r="OCG16" t="s">
        <v>188</v>
      </c>
      <c r="OCH16" t="s">
        <v>188</v>
      </c>
      <c r="OCI16" t="s">
        <v>188</v>
      </c>
      <c r="OCJ16" t="s">
        <v>188</v>
      </c>
      <c r="OCK16" t="s">
        <v>188</v>
      </c>
      <c r="OCL16" t="s">
        <v>188</v>
      </c>
      <c r="OCM16" t="s">
        <v>188</v>
      </c>
      <c r="OCN16" t="s">
        <v>188</v>
      </c>
      <c r="OCO16" t="s">
        <v>188</v>
      </c>
      <c r="OCP16" t="s">
        <v>188</v>
      </c>
      <c r="OCQ16" t="s">
        <v>188</v>
      </c>
      <c r="OCR16" t="s">
        <v>188</v>
      </c>
      <c r="OCS16" t="s">
        <v>188</v>
      </c>
      <c r="OCT16" t="s">
        <v>188</v>
      </c>
      <c r="OCU16" t="s">
        <v>188</v>
      </c>
      <c r="OCV16" t="s">
        <v>188</v>
      </c>
      <c r="OCW16" t="s">
        <v>188</v>
      </c>
      <c r="OCX16" t="s">
        <v>188</v>
      </c>
      <c r="OCY16" t="s">
        <v>188</v>
      </c>
      <c r="OCZ16" t="s">
        <v>188</v>
      </c>
      <c r="ODA16" t="s">
        <v>188</v>
      </c>
      <c r="ODB16" t="s">
        <v>188</v>
      </c>
      <c r="ODC16" t="s">
        <v>188</v>
      </c>
      <c r="ODD16" t="s">
        <v>188</v>
      </c>
      <c r="ODE16" t="s">
        <v>188</v>
      </c>
      <c r="ODF16" t="s">
        <v>188</v>
      </c>
      <c r="ODG16" t="s">
        <v>188</v>
      </c>
      <c r="ODH16" t="s">
        <v>188</v>
      </c>
      <c r="ODI16" t="s">
        <v>188</v>
      </c>
      <c r="ODJ16" t="s">
        <v>188</v>
      </c>
      <c r="ODK16" t="s">
        <v>188</v>
      </c>
      <c r="ODL16" t="s">
        <v>188</v>
      </c>
      <c r="ODM16" t="s">
        <v>188</v>
      </c>
      <c r="ODN16" t="s">
        <v>188</v>
      </c>
      <c r="ODO16" t="s">
        <v>188</v>
      </c>
      <c r="ODP16" t="s">
        <v>188</v>
      </c>
      <c r="ODQ16" t="s">
        <v>188</v>
      </c>
      <c r="ODR16" t="s">
        <v>188</v>
      </c>
      <c r="ODS16" t="s">
        <v>188</v>
      </c>
      <c r="ODT16" t="s">
        <v>188</v>
      </c>
      <c r="ODU16" t="s">
        <v>188</v>
      </c>
      <c r="ODV16" t="s">
        <v>188</v>
      </c>
      <c r="ODW16" t="s">
        <v>188</v>
      </c>
      <c r="ODX16" t="s">
        <v>188</v>
      </c>
      <c r="ODY16" t="s">
        <v>188</v>
      </c>
      <c r="ODZ16" t="s">
        <v>188</v>
      </c>
      <c r="OEA16" t="s">
        <v>188</v>
      </c>
      <c r="OEB16" t="s">
        <v>188</v>
      </c>
      <c r="OEC16" t="s">
        <v>188</v>
      </c>
      <c r="OED16" t="s">
        <v>188</v>
      </c>
      <c r="OEE16" t="s">
        <v>188</v>
      </c>
      <c r="OEF16" t="s">
        <v>188</v>
      </c>
      <c r="OEG16" t="s">
        <v>188</v>
      </c>
      <c r="OEH16" t="s">
        <v>188</v>
      </c>
      <c r="OEI16" t="s">
        <v>188</v>
      </c>
      <c r="OEJ16" t="s">
        <v>188</v>
      </c>
      <c r="OEK16" t="s">
        <v>188</v>
      </c>
      <c r="OEL16" t="s">
        <v>188</v>
      </c>
      <c r="OEM16" t="s">
        <v>188</v>
      </c>
      <c r="OEN16" t="s">
        <v>188</v>
      </c>
      <c r="OEO16" t="s">
        <v>188</v>
      </c>
      <c r="OEP16" t="s">
        <v>188</v>
      </c>
      <c r="OEQ16" t="s">
        <v>188</v>
      </c>
      <c r="OER16" t="s">
        <v>188</v>
      </c>
      <c r="OES16" t="s">
        <v>188</v>
      </c>
      <c r="OET16" t="s">
        <v>188</v>
      </c>
      <c r="OEU16" t="s">
        <v>188</v>
      </c>
      <c r="OEV16" t="s">
        <v>188</v>
      </c>
      <c r="OEW16" t="s">
        <v>188</v>
      </c>
      <c r="OEX16" t="s">
        <v>188</v>
      </c>
      <c r="OEY16" t="s">
        <v>188</v>
      </c>
      <c r="OEZ16" t="s">
        <v>188</v>
      </c>
      <c r="OFA16" t="s">
        <v>188</v>
      </c>
      <c r="OFB16" t="s">
        <v>188</v>
      </c>
      <c r="OFC16" t="s">
        <v>188</v>
      </c>
      <c r="OFD16" t="s">
        <v>188</v>
      </c>
      <c r="OFE16" t="s">
        <v>188</v>
      </c>
      <c r="OFF16" t="s">
        <v>188</v>
      </c>
      <c r="OFG16" t="s">
        <v>188</v>
      </c>
      <c r="OFH16" t="s">
        <v>188</v>
      </c>
      <c r="OFI16" t="s">
        <v>188</v>
      </c>
      <c r="OFJ16" t="s">
        <v>188</v>
      </c>
      <c r="OFK16" t="s">
        <v>188</v>
      </c>
      <c r="OFL16" t="s">
        <v>188</v>
      </c>
      <c r="OFM16" t="s">
        <v>188</v>
      </c>
      <c r="OFN16" t="s">
        <v>188</v>
      </c>
      <c r="OFO16" t="s">
        <v>188</v>
      </c>
      <c r="OFP16" t="s">
        <v>188</v>
      </c>
      <c r="OFQ16" t="s">
        <v>188</v>
      </c>
      <c r="OFR16" t="s">
        <v>188</v>
      </c>
      <c r="OFS16" t="s">
        <v>188</v>
      </c>
      <c r="OFT16" t="s">
        <v>188</v>
      </c>
      <c r="OFU16" t="s">
        <v>188</v>
      </c>
      <c r="OFV16" t="s">
        <v>188</v>
      </c>
      <c r="OFW16" t="s">
        <v>188</v>
      </c>
      <c r="OFX16" t="s">
        <v>188</v>
      </c>
      <c r="OFY16" t="s">
        <v>188</v>
      </c>
      <c r="OFZ16" t="s">
        <v>188</v>
      </c>
      <c r="OGA16" t="s">
        <v>188</v>
      </c>
      <c r="OGB16" t="s">
        <v>188</v>
      </c>
      <c r="OGC16" t="s">
        <v>188</v>
      </c>
      <c r="OGD16" t="s">
        <v>188</v>
      </c>
      <c r="OGE16" t="s">
        <v>188</v>
      </c>
      <c r="OGF16" t="s">
        <v>188</v>
      </c>
      <c r="OGG16" t="s">
        <v>188</v>
      </c>
      <c r="OGH16" t="s">
        <v>188</v>
      </c>
      <c r="OGI16" t="s">
        <v>188</v>
      </c>
      <c r="OGJ16" t="s">
        <v>188</v>
      </c>
      <c r="OGK16" t="s">
        <v>188</v>
      </c>
      <c r="OGL16" t="s">
        <v>188</v>
      </c>
      <c r="OGM16" t="s">
        <v>188</v>
      </c>
      <c r="OGN16" t="s">
        <v>188</v>
      </c>
      <c r="OGO16" t="s">
        <v>188</v>
      </c>
      <c r="OGP16" t="s">
        <v>188</v>
      </c>
      <c r="OGQ16" t="s">
        <v>188</v>
      </c>
      <c r="OGR16" t="s">
        <v>188</v>
      </c>
      <c r="OGS16" t="s">
        <v>188</v>
      </c>
      <c r="OGT16" t="s">
        <v>188</v>
      </c>
      <c r="OGU16" t="s">
        <v>188</v>
      </c>
      <c r="OGV16" t="s">
        <v>188</v>
      </c>
      <c r="OGW16" t="s">
        <v>188</v>
      </c>
      <c r="OGX16" t="s">
        <v>188</v>
      </c>
      <c r="OGY16" t="s">
        <v>188</v>
      </c>
      <c r="OGZ16" t="s">
        <v>188</v>
      </c>
      <c r="OHA16" t="s">
        <v>188</v>
      </c>
      <c r="OHB16" t="s">
        <v>188</v>
      </c>
      <c r="OHC16" t="s">
        <v>188</v>
      </c>
      <c r="OHD16" t="s">
        <v>188</v>
      </c>
      <c r="OHE16" t="s">
        <v>188</v>
      </c>
      <c r="OHF16" t="s">
        <v>188</v>
      </c>
      <c r="OHG16" t="s">
        <v>188</v>
      </c>
      <c r="OHH16" t="s">
        <v>188</v>
      </c>
      <c r="OHI16" t="s">
        <v>188</v>
      </c>
      <c r="OHJ16" t="s">
        <v>188</v>
      </c>
      <c r="OHK16" t="s">
        <v>188</v>
      </c>
      <c r="OHL16" t="s">
        <v>188</v>
      </c>
      <c r="OHM16" t="s">
        <v>188</v>
      </c>
      <c r="OHN16" t="s">
        <v>188</v>
      </c>
      <c r="OHO16" t="s">
        <v>188</v>
      </c>
      <c r="OHP16" t="s">
        <v>188</v>
      </c>
      <c r="OHQ16" t="s">
        <v>188</v>
      </c>
      <c r="OHR16" t="s">
        <v>188</v>
      </c>
      <c r="OHS16" t="s">
        <v>188</v>
      </c>
      <c r="OHT16" t="s">
        <v>188</v>
      </c>
      <c r="OHU16" t="s">
        <v>188</v>
      </c>
      <c r="OHV16" t="s">
        <v>188</v>
      </c>
      <c r="OHW16" t="s">
        <v>188</v>
      </c>
      <c r="OHX16" t="s">
        <v>188</v>
      </c>
      <c r="OHY16" t="s">
        <v>188</v>
      </c>
      <c r="OHZ16" t="s">
        <v>188</v>
      </c>
      <c r="OIA16" t="s">
        <v>188</v>
      </c>
      <c r="OIB16" t="s">
        <v>188</v>
      </c>
      <c r="OIC16" t="s">
        <v>188</v>
      </c>
      <c r="OID16" t="s">
        <v>188</v>
      </c>
      <c r="OIE16" t="s">
        <v>188</v>
      </c>
      <c r="OIF16" t="s">
        <v>188</v>
      </c>
      <c r="OIG16" t="s">
        <v>188</v>
      </c>
      <c r="OIH16" t="s">
        <v>188</v>
      </c>
      <c r="OII16" t="s">
        <v>188</v>
      </c>
      <c r="OIJ16" t="s">
        <v>188</v>
      </c>
      <c r="OIK16" t="s">
        <v>188</v>
      </c>
      <c r="OIL16" t="s">
        <v>188</v>
      </c>
      <c r="OIM16" t="s">
        <v>188</v>
      </c>
      <c r="OIN16" t="s">
        <v>188</v>
      </c>
      <c r="OIO16" t="s">
        <v>188</v>
      </c>
      <c r="OIP16" t="s">
        <v>188</v>
      </c>
      <c r="OIQ16" t="s">
        <v>188</v>
      </c>
      <c r="OIR16" t="s">
        <v>188</v>
      </c>
      <c r="OIS16" t="s">
        <v>188</v>
      </c>
      <c r="OIT16" t="s">
        <v>188</v>
      </c>
      <c r="OIU16" t="s">
        <v>188</v>
      </c>
      <c r="OIV16" t="s">
        <v>188</v>
      </c>
      <c r="OIW16" t="s">
        <v>188</v>
      </c>
      <c r="OIX16" t="s">
        <v>188</v>
      </c>
      <c r="OIY16" t="s">
        <v>188</v>
      </c>
      <c r="OIZ16" t="s">
        <v>188</v>
      </c>
      <c r="OJA16" t="s">
        <v>188</v>
      </c>
      <c r="OJB16" t="s">
        <v>188</v>
      </c>
      <c r="OJC16" t="s">
        <v>188</v>
      </c>
      <c r="OJD16" t="s">
        <v>188</v>
      </c>
      <c r="OJE16" t="s">
        <v>188</v>
      </c>
      <c r="OJF16" t="s">
        <v>188</v>
      </c>
      <c r="OJG16" t="s">
        <v>188</v>
      </c>
      <c r="OJH16" t="s">
        <v>188</v>
      </c>
      <c r="OJI16" t="s">
        <v>188</v>
      </c>
      <c r="OJJ16" t="s">
        <v>188</v>
      </c>
      <c r="OJK16" t="s">
        <v>188</v>
      </c>
      <c r="OJL16" t="s">
        <v>188</v>
      </c>
      <c r="OJM16" t="s">
        <v>188</v>
      </c>
      <c r="OJN16" t="s">
        <v>188</v>
      </c>
      <c r="OJO16" t="s">
        <v>188</v>
      </c>
      <c r="OJP16" t="s">
        <v>188</v>
      </c>
      <c r="OJQ16" t="s">
        <v>188</v>
      </c>
      <c r="OJR16" t="s">
        <v>188</v>
      </c>
      <c r="OJS16" t="s">
        <v>188</v>
      </c>
      <c r="OJT16" t="s">
        <v>188</v>
      </c>
      <c r="OJU16" t="s">
        <v>188</v>
      </c>
      <c r="OJV16" t="s">
        <v>188</v>
      </c>
      <c r="OJW16" t="s">
        <v>188</v>
      </c>
      <c r="OJX16" t="s">
        <v>188</v>
      </c>
      <c r="OJY16" t="s">
        <v>188</v>
      </c>
      <c r="OJZ16" t="s">
        <v>188</v>
      </c>
      <c r="OKA16" t="s">
        <v>188</v>
      </c>
      <c r="OKB16" t="s">
        <v>188</v>
      </c>
      <c r="OKC16" t="s">
        <v>188</v>
      </c>
      <c r="OKD16" t="s">
        <v>188</v>
      </c>
      <c r="OKE16" t="s">
        <v>188</v>
      </c>
      <c r="OKF16" t="s">
        <v>188</v>
      </c>
      <c r="OKG16" t="s">
        <v>188</v>
      </c>
      <c r="OKH16" t="s">
        <v>188</v>
      </c>
      <c r="OKI16" t="s">
        <v>188</v>
      </c>
      <c r="OKJ16" t="s">
        <v>188</v>
      </c>
      <c r="OKK16" t="s">
        <v>188</v>
      </c>
      <c r="OKL16" t="s">
        <v>188</v>
      </c>
      <c r="OKM16" t="s">
        <v>188</v>
      </c>
      <c r="OKN16" t="s">
        <v>188</v>
      </c>
      <c r="OKO16" t="s">
        <v>188</v>
      </c>
      <c r="OKP16" t="s">
        <v>188</v>
      </c>
      <c r="OKQ16" t="s">
        <v>188</v>
      </c>
      <c r="OKR16" t="s">
        <v>188</v>
      </c>
      <c r="OKS16" t="s">
        <v>188</v>
      </c>
      <c r="OKT16" t="s">
        <v>188</v>
      </c>
      <c r="OKU16" t="s">
        <v>188</v>
      </c>
      <c r="OKV16" t="s">
        <v>188</v>
      </c>
      <c r="OKW16" t="s">
        <v>188</v>
      </c>
      <c r="OKX16" t="s">
        <v>188</v>
      </c>
      <c r="OKY16" t="s">
        <v>188</v>
      </c>
      <c r="OKZ16" t="s">
        <v>188</v>
      </c>
      <c r="OLA16" t="s">
        <v>188</v>
      </c>
      <c r="OLB16" t="s">
        <v>188</v>
      </c>
      <c r="OLC16" t="s">
        <v>188</v>
      </c>
      <c r="OLD16" t="s">
        <v>188</v>
      </c>
      <c r="OLE16" t="s">
        <v>188</v>
      </c>
      <c r="OLF16" t="s">
        <v>188</v>
      </c>
      <c r="OLG16" t="s">
        <v>188</v>
      </c>
      <c r="OLH16" t="s">
        <v>188</v>
      </c>
      <c r="OLI16" t="s">
        <v>188</v>
      </c>
      <c r="OLJ16" t="s">
        <v>188</v>
      </c>
      <c r="OLK16" t="s">
        <v>188</v>
      </c>
      <c r="OLL16" t="s">
        <v>188</v>
      </c>
      <c r="OLM16" t="s">
        <v>188</v>
      </c>
      <c r="OLN16" t="s">
        <v>188</v>
      </c>
      <c r="OLO16" t="s">
        <v>188</v>
      </c>
      <c r="OLP16" t="s">
        <v>188</v>
      </c>
      <c r="OLQ16" t="s">
        <v>188</v>
      </c>
      <c r="OLR16" t="s">
        <v>188</v>
      </c>
      <c r="OLS16" t="s">
        <v>188</v>
      </c>
      <c r="OLT16" t="s">
        <v>188</v>
      </c>
      <c r="OLU16" t="s">
        <v>188</v>
      </c>
      <c r="OLV16" t="s">
        <v>188</v>
      </c>
      <c r="OLW16" t="s">
        <v>188</v>
      </c>
      <c r="OLX16" t="s">
        <v>188</v>
      </c>
      <c r="OLY16" t="s">
        <v>188</v>
      </c>
      <c r="OLZ16" t="s">
        <v>188</v>
      </c>
      <c r="OMA16" t="s">
        <v>188</v>
      </c>
      <c r="OMB16" t="s">
        <v>188</v>
      </c>
      <c r="OMC16" t="s">
        <v>188</v>
      </c>
      <c r="OMD16" t="s">
        <v>188</v>
      </c>
      <c r="OME16" t="s">
        <v>188</v>
      </c>
      <c r="OMF16" t="s">
        <v>188</v>
      </c>
      <c r="OMG16" t="s">
        <v>188</v>
      </c>
      <c r="OMH16" t="s">
        <v>188</v>
      </c>
      <c r="OMI16" t="s">
        <v>188</v>
      </c>
      <c r="OMJ16" t="s">
        <v>188</v>
      </c>
      <c r="OMK16" t="s">
        <v>188</v>
      </c>
      <c r="OML16" t="s">
        <v>188</v>
      </c>
      <c r="OMM16" t="s">
        <v>188</v>
      </c>
      <c r="OMN16" t="s">
        <v>188</v>
      </c>
      <c r="OMO16" t="s">
        <v>188</v>
      </c>
      <c r="OMP16" t="s">
        <v>188</v>
      </c>
      <c r="OMQ16" t="s">
        <v>188</v>
      </c>
      <c r="OMR16" t="s">
        <v>188</v>
      </c>
      <c r="OMS16" t="s">
        <v>188</v>
      </c>
      <c r="OMT16" t="s">
        <v>188</v>
      </c>
      <c r="OMU16" t="s">
        <v>188</v>
      </c>
      <c r="OMV16" t="s">
        <v>188</v>
      </c>
      <c r="OMW16" t="s">
        <v>188</v>
      </c>
      <c r="OMX16" t="s">
        <v>188</v>
      </c>
      <c r="OMY16" t="s">
        <v>188</v>
      </c>
      <c r="OMZ16" t="s">
        <v>188</v>
      </c>
      <c r="ONA16" t="s">
        <v>188</v>
      </c>
      <c r="ONB16" t="s">
        <v>188</v>
      </c>
      <c r="ONC16" t="s">
        <v>188</v>
      </c>
      <c r="OND16" t="s">
        <v>188</v>
      </c>
      <c r="ONE16" t="s">
        <v>188</v>
      </c>
      <c r="ONF16" t="s">
        <v>188</v>
      </c>
      <c r="ONG16" t="s">
        <v>188</v>
      </c>
      <c r="ONH16" t="s">
        <v>188</v>
      </c>
      <c r="ONI16" t="s">
        <v>188</v>
      </c>
      <c r="ONJ16" t="s">
        <v>188</v>
      </c>
      <c r="ONK16" t="s">
        <v>188</v>
      </c>
      <c r="ONL16" t="s">
        <v>188</v>
      </c>
      <c r="ONM16" t="s">
        <v>188</v>
      </c>
      <c r="ONN16" t="s">
        <v>188</v>
      </c>
      <c r="ONO16" t="s">
        <v>188</v>
      </c>
      <c r="ONP16" t="s">
        <v>188</v>
      </c>
      <c r="ONQ16" t="s">
        <v>188</v>
      </c>
      <c r="ONR16" t="s">
        <v>188</v>
      </c>
      <c r="ONS16" t="s">
        <v>188</v>
      </c>
      <c r="ONT16" t="s">
        <v>188</v>
      </c>
      <c r="ONU16" t="s">
        <v>188</v>
      </c>
      <c r="ONV16" t="s">
        <v>188</v>
      </c>
      <c r="ONW16" t="s">
        <v>188</v>
      </c>
      <c r="ONX16" t="s">
        <v>188</v>
      </c>
      <c r="ONY16" t="s">
        <v>188</v>
      </c>
      <c r="ONZ16" t="s">
        <v>188</v>
      </c>
      <c r="OOA16" t="s">
        <v>188</v>
      </c>
      <c r="OOB16" t="s">
        <v>188</v>
      </c>
      <c r="OOC16" t="s">
        <v>188</v>
      </c>
      <c r="OOD16" t="s">
        <v>188</v>
      </c>
      <c r="OOE16" t="s">
        <v>188</v>
      </c>
      <c r="OOF16" t="s">
        <v>188</v>
      </c>
      <c r="OOG16" t="s">
        <v>188</v>
      </c>
      <c r="OOH16" t="s">
        <v>188</v>
      </c>
      <c r="OOI16" t="s">
        <v>188</v>
      </c>
      <c r="OOJ16" t="s">
        <v>188</v>
      </c>
      <c r="OOK16" t="s">
        <v>188</v>
      </c>
      <c r="OOL16" t="s">
        <v>188</v>
      </c>
      <c r="OOM16" t="s">
        <v>188</v>
      </c>
      <c r="OON16" t="s">
        <v>188</v>
      </c>
      <c r="OOO16" t="s">
        <v>188</v>
      </c>
      <c r="OOP16" t="s">
        <v>188</v>
      </c>
      <c r="OOQ16" t="s">
        <v>188</v>
      </c>
      <c r="OOR16" t="s">
        <v>188</v>
      </c>
      <c r="OOS16" t="s">
        <v>188</v>
      </c>
      <c r="OOT16" t="s">
        <v>188</v>
      </c>
      <c r="OOU16" t="s">
        <v>188</v>
      </c>
      <c r="OOV16" t="s">
        <v>188</v>
      </c>
      <c r="OOW16" t="s">
        <v>188</v>
      </c>
      <c r="OOX16" t="s">
        <v>188</v>
      </c>
      <c r="OOY16" t="s">
        <v>188</v>
      </c>
      <c r="OOZ16" t="s">
        <v>188</v>
      </c>
      <c r="OPA16" t="s">
        <v>188</v>
      </c>
      <c r="OPB16" t="s">
        <v>188</v>
      </c>
      <c r="OPC16" t="s">
        <v>188</v>
      </c>
      <c r="OPD16" t="s">
        <v>188</v>
      </c>
      <c r="OPE16" t="s">
        <v>188</v>
      </c>
      <c r="OPF16" t="s">
        <v>188</v>
      </c>
      <c r="OPG16" t="s">
        <v>188</v>
      </c>
      <c r="OPH16" t="s">
        <v>188</v>
      </c>
      <c r="OPI16" t="s">
        <v>188</v>
      </c>
      <c r="OPJ16" t="s">
        <v>188</v>
      </c>
      <c r="OPK16" t="s">
        <v>188</v>
      </c>
      <c r="OPL16" t="s">
        <v>188</v>
      </c>
      <c r="OPM16" t="s">
        <v>188</v>
      </c>
      <c r="OPN16" t="s">
        <v>188</v>
      </c>
      <c r="OPO16" t="s">
        <v>188</v>
      </c>
      <c r="OPP16" t="s">
        <v>188</v>
      </c>
      <c r="OPQ16" t="s">
        <v>188</v>
      </c>
      <c r="OPR16" t="s">
        <v>188</v>
      </c>
      <c r="OPS16" t="s">
        <v>188</v>
      </c>
      <c r="OPT16" t="s">
        <v>188</v>
      </c>
      <c r="OPU16" t="s">
        <v>188</v>
      </c>
      <c r="OPV16" t="s">
        <v>188</v>
      </c>
      <c r="OPW16" t="s">
        <v>188</v>
      </c>
      <c r="OPX16" t="s">
        <v>188</v>
      </c>
      <c r="OPY16" t="s">
        <v>188</v>
      </c>
      <c r="OPZ16" t="s">
        <v>188</v>
      </c>
      <c r="OQA16" t="s">
        <v>188</v>
      </c>
      <c r="OQB16" t="s">
        <v>188</v>
      </c>
      <c r="OQC16" t="s">
        <v>188</v>
      </c>
      <c r="OQD16" t="s">
        <v>188</v>
      </c>
      <c r="OQE16" t="s">
        <v>188</v>
      </c>
      <c r="OQF16" t="s">
        <v>188</v>
      </c>
      <c r="OQG16" t="s">
        <v>188</v>
      </c>
      <c r="OQH16" t="s">
        <v>188</v>
      </c>
      <c r="OQI16" t="s">
        <v>188</v>
      </c>
      <c r="OQJ16" t="s">
        <v>188</v>
      </c>
      <c r="OQK16" t="s">
        <v>188</v>
      </c>
      <c r="OQL16" t="s">
        <v>188</v>
      </c>
      <c r="OQM16" t="s">
        <v>188</v>
      </c>
      <c r="OQN16" t="s">
        <v>188</v>
      </c>
      <c r="OQO16" t="s">
        <v>188</v>
      </c>
      <c r="OQP16" t="s">
        <v>188</v>
      </c>
      <c r="OQQ16" t="s">
        <v>188</v>
      </c>
      <c r="OQR16" t="s">
        <v>188</v>
      </c>
      <c r="OQS16" t="s">
        <v>188</v>
      </c>
      <c r="OQT16" t="s">
        <v>188</v>
      </c>
      <c r="OQU16" t="s">
        <v>188</v>
      </c>
      <c r="OQV16" t="s">
        <v>188</v>
      </c>
      <c r="OQW16" t="s">
        <v>188</v>
      </c>
      <c r="OQX16" t="s">
        <v>188</v>
      </c>
      <c r="OQY16" t="s">
        <v>188</v>
      </c>
      <c r="OQZ16" t="s">
        <v>188</v>
      </c>
      <c r="ORA16" t="s">
        <v>188</v>
      </c>
      <c r="ORB16" t="s">
        <v>188</v>
      </c>
      <c r="ORC16" t="s">
        <v>188</v>
      </c>
      <c r="ORD16" t="s">
        <v>188</v>
      </c>
      <c r="ORE16" t="s">
        <v>188</v>
      </c>
      <c r="ORF16" t="s">
        <v>188</v>
      </c>
      <c r="ORG16" t="s">
        <v>188</v>
      </c>
      <c r="ORH16" t="s">
        <v>188</v>
      </c>
      <c r="ORI16" t="s">
        <v>188</v>
      </c>
      <c r="ORJ16" t="s">
        <v>188</v>
      </c>
      <c r="ORK16" t="s">
        <v>188</v>
      </c>
      <c r="ORL16" t="s">
        <v>188</v>
      </c>
      <c r="ORM16" t="s">
        <v>188</v>
      </c>
      <c r="ORN16" t="s">
        <v>188</v>
      </c>
      <c r="ORO16" t="s">
        <v>188</v>
      </c>
      <c r="ORP16" t="s">
        <v>188</v>
      </c>
      <c r="ORQ16" t="s">
        <v>188</v>
      </c>
      <c r="ORR16" t="s">
        <v>188</v>
      </c>
      <c r="ORS16" t="s">
        <v>188</v>
      </c>
      <c r="ORT16" t="s">
        <v>188</v>
      </c>
      <c r="ORU16" t="s">
        <v>188</v>
      </c>
      <c r="ORV16" t="s">
        <v>188</v>
      </c>
      <c r="ORW16" t="s">
        <v>188</v>
      </c>
      <c r="ORX16" t="s">
        <v>188</v>
      </c>
      <c r="ORY16" t="s">
        <v>188</v>
      </c>
      <c r="ORZ16" t="s">
        <v>188</v>
      </c>
      <c r="OSA16" t="s">
        <v>188</v>
      </c>
      <c r="OSB16" t="s">
        <v>188</v>
      </c>
      <c r="OSC16" t="s">
        <v>188</v>
      </c>
      <c r="OSD16" t="s">
        <v>188</v>
      </c>
      <c r="OSE16" t="s">
        <v>188</v>
      </c>
      <c r="OSF16" t="s">
        <v>188</v>
      </c>
      <c r="OSG16" t="s">
        <v>188</v>
      </c>
      <c r="OSH16" t="s">
        <v>188</v>
      </c>
      <c r="OSI16" t="s">
        <v>188</v>
      </c>
      <c r="OSJ16" t="s">
        <v>188</v>
      </c>
      <c r="OSK16" t="s">
        <v>188</v>
      </c>
      <c r="OSL16" t="s">
        <v>188</v>
      </c>
      <c r="OSM16" t="s">
        <v>188</v>
      </c>
      <c r="OSN16" t="s">
        <v>188</v>
      </c>
      <c r="OSO16" t="s">
        <v>188</v>
      </c>
      <c r="OSP16" t="s">
        <v>188</v>
      </c>
      <c r="OSQ16" t="s">
        <v>188</v>
      </c>
      <c r="OSR16" t="s">
        <v>188</v>
      </c>
      <c r="OSS16" t="s">
        <v>188</v>
      </c>
      <c r="OST16" t="s">
        <v>188</v>
      </c>
      <c r="OSU16" t="s">
        <v>188</v>
      </c>
      <c r="OSV16" t="s">
        <v>188</v>
      </c>
      <c r="OSW16" t="s">
        <v>188</v>
      </c>
      <c r="OSX16" t="s">
        <v>188</v>
      </c>
      <c r="OSY16" t="s">
        <v>188</v>
      </c>
      <c r="OSZ16" t="s">
        <v>188</v>
      </c>
      <c r="OTA16" t="s">
        <v>188</v>
      </c>
      <c r="OTB16" t="s">
        <v>188</v>
      </c>
      <c r="OTC16" t="s">
        <v>188</v>
      </c>
      <c r="OTD16" t="s">
        <v>188</v>
      </c>
      <c r="OTE16" t="s">
        <v>188</v>
      </c>
      <c r="OTF16" t="s">
        <v>188</v>
      </c>
      <c r="OTG16" t="s">
        <v>188</v>
      </c>
      <c r="OTH16" t="s">
        <v>188</v>
      </c>
      <c r="OTI16" t="s">
        <v>188</v>
      </c>
      <c r="OTJ16" t="s">
        <v>188</v>
      </c>
      <c r="OTK16" t="s">
        <v>188</v>
      </c>
      <c r="OTL16" t="s">
        <v>188</v>
      </c>
      <c r="OTM16" t="s">
        <v>188</v>
      </c>
      <c r="OTN16" t="s">
        <v>188</v>
      </c>
      <c r="OTO16" t="s">
        <v>188</v>
      </c>
      <c r="OTP16" t="s">
        <v>188</v>
      </c>
      <c r="OTQ16" t="s">
        <v>188</v>
      </c>
      <c r="OTR16" t="s">
        <v>188</v>
      </c>
      <c r="OTS16" t="s">
        <v>188</v>
      </c>
      <c r="OTT16" t="s">
        <v>188</v>
      </c>
      <c r="OTU16" t="s">
        <v>188</v>
      </c>
      <c r="OTV16" t="s">
        <v>188</v>
      </c>
      <c r="OTW16" t="s">
        <v>188</v>
      </c>
      <c r="OTX16" t="s">
        <v>188</v>
      </c>
      <c r="OTY16" t="s">
        <v>188</v>
      </c>
      <c r="OTZ16" t="s">
        <v>188</v>
      </c>
      <c r="OUA16" t="s">
        <v>188</v>
      </c>
      <c r="OUB16" t="s">
        <v>188</v>
      </c>
      <c r="OUC16" t="s">
        <v>188</v>
      </c>
      <c r="OUD16" t="s">
        <v>188</v>
      </c>
      <c r="OUE16" t="s">
        <v>188</v>
      </c>
      <c r="OUF16" t="s">
        <v>188</v>
      </c>
      <c r="OUG16" t="s">
        <v>188</v>
      </c>
      <c r="OUH16" t="s">
        <v>188</v>
      </c>
      <c r="OUI16" t="s">
        <v>188</v>
      </c>
      <c r="OUJ16" t="s">
        <v>188</v>
      </c>
      <c r="OUK16" t="s">
        <v>188</v>
      </c>
      <c r="OUL16" t="s">
        <v>188</v>
      </c>
      <c r="OUM16" t="s">
        <v>188</v>
      </c>
      <c r="OUN16" t="s">
        <v>188</v>
      </c>
      <c r="OUO16" t="s">
        <v>188</v>
      </c>
      <c r="OUP16" t="s">
        <v>188</v>
      </c>
      <c r="OUQ16" t="s">
        <v>188</v>
      </c>
      <c r="OUR16" t="s">
        <v>188</v>
      </c>
      <c r="OUS16" t="s">
        <v>188</v>
      </c>
      <c r="OUT16" t="s">
        <v>188</v>
      </c>
      <c r="OUU16" t="s">
        <v>188</v>
      </c>
      <c r="OUV16" t="s">
        <v>188</v>
      </c>
      <c r="OUW16" t="s">
        <v>188</v>
      </c>
      <c r="OUX16" t="s">
        <v>188</v>
      </c>
      <c r="OUY16" t="s">
        <v>188</v>
      </c>
      <c r="OUZ16" t="s">
        <v>188</v>
      </c>
      <c r="OVA16" t="s">
        <v>188</v>
      </c>
      <c r="OVB16" t="s">
        <v>188</v>
      </c>
      <c r="OVC16" t="s">
        <v>188</v>
      </c>
      <c r="OVD16" t="s">
        <v>188</v>
      </c>
      <c r="OVE16" t="s">
        <v>188</v>
      </c>
      <c r="OVF16" t="s">
        <v>188</v>
      </c>
      <c r="OVG16" t="s">
        <v>188</v>
      </c>
      <c r="OVH16" t="s">
        <v>188</v>
      </c>
      <c r="OVI16" t="s">
        <v>188</v>
      </c>
      <c r="OVJ16" t="s">
        <v>188</v>
      </c>
      <c r="OVK16" t="s">
        <v>188</v>
      </c>
      <c r="OVL16" t="s">
        <v>188</v>
      </c>
      <c r="OVM16" t="s">
        <v>188</v>
      </c>
      <c r="OVN16" t="s">
        <v>188</v>
      </c>
      <c r="OVO16" t="s">
        <v>188</v>
      </c>
      <c r="OVP16" t="s">
        <v>188</v>
      </c>
      <c r="OVQ16" t="s">
        <v>188</v>
      </c>
      <c r="OVR16" t="s">
        <v>188</v>
      </c>
      <c r="OVS16" t="s">
        <v>188</v>
      </c>
      <c r="OVT16" t="s">
        <v>188</v>
      </c>
      <c r="OVU16" t="s">
        <v>188</v>
      </c>
      <c r="OVV16" t="s">
        <v>188</v>
      </c>
      <c r="OVW16" t="s">
        <v>188</v>
      </c>
      <c r="OVX16" t="s">
        <v>188</v>
      </c>
      <c r="OVY16" t="s">
        <v>188</v>
      </c>
      <c r="OVZ16" t="s">
        <v>188</v>
      </c>
      <c r="OWA16" t="s">
        <v>188</v>
      </c>
      <c r="OWB16" t="s">
        <v>188</v>
      </c>
      <c r="OWC16" t="s">
        <v>188</v>
      </c>
      <c r="OWD16" t="s">
        <v>188</v>
      </c>
      <c r="OWE16" t="s">
        <v>188</v>
      </c>
      <c r="OWF16" t="s">
        <v>188</v>
      </c>
      <c r="OWG16" t="s">
        <v>188</v>
      </c>
      <c r="OWH16" t="s">
        <v>188</v>
      </c>
      <c r="OWI16" t="s">
        <v>188</v>
      </c>
      <c r="OWJ16" t="s">
        <v>188</v>
      </c>
      <c r="OWK16" t="s">
        <v>188</v>
      </c>
      <c r="OWL16" t="s">
        <v>188</v>
      </c>
      <c r="OWM16" t="s">
        <v>188</v>
      </c>
      <c r="OWN16" t="s">
        <v>188</v>
      </c>
      <c r="OWO16" t="s">
        <v>188</v>
      </c>
      <c r="OWP16" t="s">
        <v>188</v>
      </c>
      <c r="OWQ16" t="s">
        <v>188</v>
      </c>
      <c r="OWR16" t="s">
        <v>188</v>
      </c>
      <c r="OWS16" t="s">
        <v>188</v>
      </c>
      <c r="OWT16" t="s">
        <v>188</v>
      </c>
      <c r="OWU16" t="s">
        <v>188</v>
      </c>
      <c r="OWV16" t="s">
        <v>188</v>
      </c>
      <c r="OWW16" t="s">
        <v>188</v>
      </c>
      <c r="OWX16" t="s">
        <v>188</v>
      </c>
      <c r="OWY16" t="s">
        <v>188</v>
      </c>
      <c r="OWZ16" t="s">
        <v>188</v>
      </c>
      <c r="OXA16" t="s">
        <v>188</v>
      </c>
      <c r="OXB16" t="s">
        <v>188</v>
      </c>
      <c r="OXC16" t="s">
        <v>188</v>
      </c>
      <c r="OXD16" t="s">
        <v>188</v>
      </c>
      <c r="OXE16" t="s">
        <v>188</v>
      </c>
      <c r="OXF16" t="s">
        <v>188</v>
      </c>
      <c r="OXG16" t="s">
        <v>188</v>
      </c>
      <c r="OXH16" t="s">
        <v>188</v>
      </c>
      <c r="OXI16" t="s">
        <v>188</v>
      </c>
      <c r="OXJ16" t="s">
        <v>188</v>
      </c>
      <c r="OXK16" t="s">
        <v>188</v>
      </c>
      <c r="OXL16" t="s">
        <v>188</v>
      </c>
      <c r="OXM16" t="s">
        <v>188</v>
      </c>
      <c r="OXN16" t="s">
        <v>188</v>
      </c>
      <c r="OXO16" t="s">
        <v>188</v>
      </c>
      <c r="OXP16" t="s">
        <v>188</v>
      </c>
      <c r="OXQ16" t="s">
        <v>188</v>
      </c>
      <c r="OXR16" t="s">
        <v>188</v>
      </c>
      <c r="OXS16" t="s">
        <v>188</v>
      </c>
      <c r="OXT16" t="s">
        <v>188</v>
      </c>
      <c r="OXU16" t="s">
        <v>188</v>
      </c>
      <c r="OXV16" t="s">
        <v>188</v>
      </c>
      <c r="OXW16" t="s">
        <v>188</v>
      </c>
      <c r="OXX16" t="s">
        <v>188</v>
      </c>
      <c r="OXY16" t="s">
        <v>188</v>
      </c>
      <c r="OXZ16" t="s">
        <v>188</v>
      </c>
      <c r="OYA16" t="s">
        <v>188</v>
      </c>
      <c r="OYB16" t="s">
        <v>188</v>
      </c>
      <c r="OYC16" t="s">
        <v>188</v>
      </c>
      <c r="OYD16" t="s">
        <v>188</v>
      </c>
      <c r="OYE16" t="s">
        <v>188</v>
      </c>
      <c r="OYF16" t="s">
        <v>188</v>
      </c>
      <c r="OYG16" t="s">
        <v>188</v>
      </c>
      <c r="OYH16" t="s">
        <v>188</v>
      </c>
      <c r="OYI16" t="s">
        <v>188</v>
      </c>
      <c r="OYJ16" t="s">
        <v>188</v>
      </c>
      <c r="OYK16" t="s">
        <v>188</v>
      </c>
      <c r="OYL16" t="s">
        <v>188</v>
      </c>
      <c r="OYM16" t="s">
        <v>188</v>
      </c>
      <c r="OYN16" t="s">
        <v>188</v>
      </c>
      <c r="OYO16" t="s">
        <v>188</v>
      </c>
      <c r="OYP16" t="s">
        <v>188</v>
      </c>
      <c r="OYQ16" t="s">
        <v>188</v>
      </c>
      <c r="OYR16" t="s">
        <v>188</v>
      </c>
      <c r="OYS16" t="s">
        <v>188</v>
      </c>
      <c r="OYT16" t="s">
        <v>188</v>
      </c>
      <c r="OYU16" t="s">
        <v>188</v>
      </c>
      <c r="OYV16" t="s">
        <v>188</v>
      </c>
      <c r="OYW16" t="s">
        <v>188</v>
      </c>
      <c r="OYX16" t="s">
        <v>188</v>
      </c>
      <c r="OYY16" t="s">
        <v>188</v>
      </c>
      <c r="OYZ16" t="s">
        <v>188</v>
      </c>
      <c r="OZA16" t="s">
        <v>188</v>
      </c>
      <c r="OZB16" t="s">
        <v>188</v>
      </c>
      <c r="OZC16" t="s">
        <v>188</v>
      </c>
      <c r="OZD16" t="s">
        <v>188</v>
      </c>
      <c r="OZE16" t="s">
        <v>188</v>
      </c>
      <c r="OZF16" t="s">
        <v>188</v>
      </c>
      <c r="OZG16" t="s">
        <v>188</v>
      </c>
      <c r="OZH16" t="s">
        <v>188</v>
      </c>
      <c r="OZI16" t="s">
        <v>188</v>
      </c>
      <c r="OZJ16" t="s">
        <v>188</v>
      </c>
      <c r="OZK16" t="s">
        <v>188</v>
      </c>
      <c r="OZL16" t="s">
        <v>188</v>
      </c>
      <c r="OZM16" t="s">
        <v>188</v>
      </c>
      <c r="OZN16" t="s">
        <v>188</v>
      </c>
      <c r="OZO16" t="s">
        <v>188</v>
      </c>
      <c r="OZP16" t="s">
        <v>188</v>
      </c>
      <c r="OZQ16" t="s">
        <v>188</v>
      </c>
      <c r="OZR16" t="s">
        <v>188</v>
      </c>
      <c r="OZS16" t="s">
        <v>188</v>
      </c>
      <c r="OZT16" t="s">
        <v>188</v>
      </c>
      <c r="OZU16" t="s">
        <v>188</v>
      </c>
      <c r="OZV16" t="s">
        <v>188</v>
      </c>
      <c r="OZW16" t="s">
        <v>188</v>
      </c>
      <c r="OZX16" t="s">
        <v>188</v>
      </c>
      <c r="OZY16" t="s">
        <v>188</v>
      </c>
      <c r="OZZ16" t="s">
        <v>188</v>
      </c>
      <c r="PAA16" t="s">
        <v>188</v>
      </c>
      <c r="PAB16" t="s">
        <v>188</v>
      </c>
      <c r="PAC16" t="s">
        <v>188</v>
      </c>
      <c r="PAD16" t="s">
        <v>188</v>
      </c>
      <c r="PAE16" t="s">
        <v>188</v>
      </c>
      <c r="PAF16" t="s">
        <v>188</v>
      </c>
      <c r="PAG16" t="s">
        <v>188</v>
      </c>
      <c r="PAH16" t="s">
        <v>188</v>
      </c>
      <c r="PAI16" t="s">
        <v>188</v>
      </c>
      <c r="PAJ16" t="s">
        <v>188</v>
      </c>
      <c r="PAK16" t="s">
        <v>188</v>
      </c>
      <c r="PAL16" t="s">
        <v>188</v>
      </c>
      <c r="PAM16" t="s">
        <v>188</v>
      </c>
      <c r="PAN16" t="s">
        <v>188</v>
      </c>
      <c r="PAO16" t="s">
        <v>188</v>
      </c>
      <c r="PAP16" t="s">
        <v>188</v>
      </c>
      <c r="PAQ16" t="s">
        <v>188</v>
      </c>
      <c r="PAR16" t="s">
        <v>188</v>
      </c>
      <c r="PAS16" t="s">
        <v>188</v>
      </c>
      <c r="PAT16" t="s">
        <v>188</v>
      </c>
      <c r="PAU16" t="s">
        <v>188</v>
      </c>
      <c r="PAV16" t="s">
        <v>188</v>
      </c>
      <c r="PAW16" t="s">
        <v>188</v>
      </c>
      <c r="PAX16" t="s">
        <v>188</v>
      </c>
      <c r="PAY16" t="s">
        <v>188</v>
      </c>
      <c r="PAZ16" t="s">
        <v>188</v>
      </c>
      <c r="PBA16" t="s">
        <v>188</v>
      </c>
      <c r="PBB16" t="s">
        <v>188</v>
      </c>
      <c r="PBC16" t="s">
        <v>188</v>
      </c>
      <c r="PBD16" t="s">
        <v>188</v>
      </c>
      <c r="PBE16" t="s">
        <v>188</v>
      </c>
      <c r="PBF16" t="s">
        <v>188</v>
      </c>
      <c r="PBG16" t="s">
        <v>188</v>
      </c>
      <c r="PBH16" t="s">
        <v>188</v>
      </c>
      <c r="PBI16" t="s">
        <v>188</v>
      </c>
      <c r="PBJ16" t="s">
        <v>188</v>
      </c>
      <c r="PBK16" t="s">
        <v>188</v>
      </c>
      <c r="PBL16" t="s">
        <v>188</v>
      </c>
      <c r="PBM16" t="s">
        <v>188</v>
      </c>
      <c r="PBN16" t="s">
        <v>188</v>
      </c>
      <c r="PBO16" t="s">
        <v>188</v>
      </c>
      <c r="PBP16" t="s">
        <v>188</v>
      </c>
      <c r="PBQ16" t="s">
        <v>188</v>
      </c>
      <c r="PBR16" t="s">
        <v>188</v>
      </c>
      <c r="PBS16" t="s">
        <v>188</v>
      </c>
      <c r="PBT16" t="s">
        <v>188</v>
      </c>
      <c r="PBU16" t="s">
        <v>188</v>
      </c>
      <c r="PBV16" t="s">
        <v>188</v>
      </c>
      <c r="PBW16" t="s">
        <v>188</v>
      </c>
      <c r="PBX16" t="s">
        <v>188</v>
      </c>
      <c r="PBY16" t="s">
        <v>188</v>
      </c>
      <c r="PBZ16" t="s">
        <v>188</v>
      </c>
      <c r="PCA16" t="s">
        <v>188</v>
      </c>
      <c r="PCB16" t="s">
        <v>188</v>
      </c>
      <c r="PCC16" t="s">
        <v>188</v>
      </c>
      <c r="PCD16" t="s">
        <v>188</v>
      </c>
      <c r="PCE16" t="s">
        <v>188</v>
      </c>
      <c r="PCF16" t="s">
        <v>188</v>
      </c>
      <c r="PCG16" t="s">
        <v>188</v>
      </c>
      <c r="PCH16" t="s">
        <v>188</v>
      </c>
      <c r="PCI16" t="s">
        <v>188</v>
      </c>
      <c r="PCJ16" t="s">
        <v>188</v>
      </c>
      <c r="PCK16" t="s">
        <v>188</v>
      </c>
      <c r="PCL16" t="s">
        <v>188</v>
      </c>
      <c r="PCM16" t="s">
        <v>188</v>
      </c>
      <c r="PCN16" t="s">
        <v>188</v>
      </c>
      <c r="PCO16" t="s">
        <v>188</v>
      </c>
      <c r="PCP16" t="s">
        <v>188</v>
      </c>
      <c r="PCQ16" t="s">
        <v>188</v>
      </c>
      <c r="PCR16" t="s">
        <v>188</v>
      </c>
      <c r="PCS16" t="s">
        <v>188</v>
      </c>
      <c r="PCT16" t="s">
        <v>188</v>
      </c>
      <c r="PCU16" t="s">
        <v>188</v>
      </c>
      <c r="PCV16" t="s">
        <v>188</v>
      </c>
      <c r="PCW16" t="s">
        <v>188</v>
      </c>
      <c r="PCX16" t="s">
        <v>188</v>
      </c>
      <c r="PCY16" t="s">
        <v>188</v>
      </c>
      <c r="PCZ16" t="s">
        <v>188</v>
      </c>
      <c r="PDA16" t="s">
        <v>188</v>
      </c>
      <c r="PDB16" t="s">
        <v>188</v>
      </c>
      <c r="PDC16" t="s">
        <v>188</v>
      </c>
      <c r="PDD16" t="s">
        <v>188</v>
      </c>
      <c r="PDE16" t="s">
        <v>188</v>
      </c>
      <c r="PDF16" t="s">
        <v>188</v>
      </c>
      <c r="PDG16" t="s">
        <v>188</v>
      </c>
      <c r="PDH16" t="s">
        <v>188</v>
      </c>
      <c r="PDI16" t="s">
        <v>188</v>
      </c>
      <c r="PDJ16" t="s">
        <v>188</v>
      </c>
      <c r="PDK16" t="s">
        <v>188</v>
      </c>
      <c r="PDL16" t="s">
        <v>188</v>
      </c>
      <c r="PDM16" t="s">
        <v>188</v>
      </c>
      <c r="PDN16" t="s">
        <v>188</v>
      </c>
      <c r="PDO16" t="s">
        <v>188</v>
      </c>
      <c r="PDP16" t="s">
        <v>188</v>
      </c>
      <c r="PDQ16" t="s">
        <v>188</v>
      </c>
      <c r="PDR16" t="s">
        <v>188</v>
      </c>
      <c r="PDS16" t="s">
        <v>188</v>
      </c>
      <c r="PDT16" t="s">
        <v>188</v>
      </c>
      <c r="PDU16" t="s">
        <v>188</v>
      </c>
      <c r="PDV16" t="s">
        <v>188</v>
      </c>
      <c r="PDW16" t="s">
        <v>188</v>
      </c>
      <c r="PDX16" t="s">
        <v>188</v>
      </c>
      <c r="PDY16" t="s">
        <v>188</v>
      </c>
      <c r="PDZ16" t="s">
        <v>188</v>
      </c>
      <c r="PEA16" t="s">
        <v>188</v>
      </c>
      <c r="PEB16" t="s">
        <v>188</v>
      </c>
      <c r="PEC16" t="s">
        <v>188</v>
      </c>
      <c r="PED16" t="s">
        <v>188</v>
      </c>
      <c r="PEE16" t="s">
        <v>188</v>
      </c>
      <c r="PEF16" t="s">
        <v>188</v>
      </c>
      <c r="PEG16" t="s">
        <v>188</v>
      </c>
      <c r="PEH16" t="s">
        <v>188</v>
      </c>
      <c r="PEI16" t="s">
        <v>188</v>
      </c>
      <c r="PEJ16" t="s">
        <v>188</v>
      </c>
      <c r="PEK16" t="s">
        <v>188</v>
      </c>
      <c r="PEL16" t="s">
        <v>188</v>
      </c>
      <c r="PEM16" t="s">
        <v>188</v>
      </c>
      <c r="PEN16" t="s">
        <v>188</v>
      </c>
      <c r="PEO16" t="s">
        <v>188</v>
      </c>
      <c r="PEP16" t="s">
        <v>188</v>
      </c>
      <c r="PEQ16" t="s">
        <v>188</v>
      </c>
      <c r="PER16" t="s">
        <v>188</v>
      </c>
      <c r="PES16" t="s">
        <v>188</v>
      </c>
      <c r="PET16" t="s">
        <v>188</v>
      </c>
      <c r="PEU16" t="s">
        <v>188</v>
      </c>
      <c r="PEV16" t="s">
        <v>188</v>
      </c>
      <c r="PEW16" t="s">
        <v>188</v>
      </c>
      <c r="PEX16" t="s">
        <v>188</v>
      </c>
      <c r="PEY16" t="s">
        <v>188</v>
      </c>
      <c r="PEZ16" t="s">
        <v>188</v>
      </c>
      <c r="PFA16" t="s">
        <v>188</v>
      </c>
      <c r="PFB16" t="s">
        <v>188</v>
      </c>
      <c r="PFC16" t="s">
        <v>188</v>
      </c>
      <c r="PFD16" t="s">
        <v>188</v>
      </c>
      <c r="PFE16" t="s">
        <v>188</v>
      </c>
      <c r="PFF16" t="s">
        <v>188</v>
      </c>
      <c r="PFG16" t="s">
        <v>188</v>
      </c>
      <c r="PFH16" t="s">
        <v>188</v>
      </c>
      <c r="PFI16" t="s">
        <v>188</v>
      </c>
      <c r="PFJ16" t="s">
        <v>188</v>
      </c>
      <c r="PFK16" t="s">
        <v>188</v>
      </c>
      <c r="PFL16" t="s">
        <v>188</v>
      </c>
      <c r="PFM16" t="s">
        <v>188</v>
      </c>
      <c r="PFN16" t="s">
        <v>188</v>
      </c>
      <c r="PFO16" t="s">
        <v>188</v>
      </c>
      <c r="PFP16" t="s">
        <v>188</v>
      </c>
      <c r="PFQ16" t="s">
        <v>188</v>
      </c>
      <c r="PFR16" t="s">
        <v>188</v>
      </c>
      <c r="PFS16" t="s">
        <v>188</v>
      </c>
      <c r="PFT16" t="s">
        <v>188</v>
      </c>
      <c r="PFU16" t="s">
        <v>188</v>
      </c>
      <c r="PFV16" t="s">
        <v>188</v>
      </c>
      <c r="PFW16" t="s">
        <v>188</v>
      </c>
      <c r="PFX16" t="s">
        <v>188</v>
      </c>
      <c r="PFY16" t="s">
        <v>188</v>
      </c>
      <c r="PFZ16" t="s">
        <v>188</v>
      </c>
      <c r="PGA16" t="s">
        <v>188</v>
      </c>
      <c r="PGB16" t="s">
        <v>188</v>
      </c>
      <c r="PGC16" t="s">
        <v>188</v>
      </c>
      <c r="PGD16" t="s">
        <v>188</v>
      </c>
      <c r="PGE16" t="s">
        <v>188</v>
      </c>
      <c r="PGF16" t="s">
        <v>188</v>
      </c>
      <c r="PGG16" t="s">
        <v>188</v>
      </c>
      <c r="PGH16" t="s">
        <v>188</v>
      </c>
      <c r="PGI16" t="s">
        <v>188</v>
      </c>
      <c r="PGJ16" t="s">
        <v>188</v>
      </c>
      <c r="PGK16" t="s">
        <v>188</v>
      </c>
      <c r="PGL16" t="s">
        <v>188</v>
      </c>
      <c r="PGM16" t="s">
        <v>188</v>
      </c>
      <c r="PGN16" t="s">
        <v>188</v>
      </c>
      <c r="PGO16" t="s">
        <v>188</v>
      </c>
      <c r="PGP16" t="s">
        <v>188</v>
      </c>
      <c r="PGQ16" t="s">
        <v>188</v>
      </c>
      <c r="PGR16" t="s">
        <v>188</v>
      </c>
      <c r="PGS16" t="s">
        <v>188</v>
      </c>
      <c r="PGT16" t="s">
        <v>188</v>
      </c>
      <c r="PGU16" t="s">
        <v>188</v>
      </c>
      <c r="PGV16" t="s">
        <v>188</v>
      </c>
      <c r="PGW16" t="s">
        <v>188</v>
      </c>
      <c r="PGX16" t="s">
        <v>188</v>
      </c>
      <c r="PGY16" t="s">
        <v>188</v>
      </c>
      <c r="PGZ16" t="s">
        <v>188</v>
      </c>
      <c r="PHA16" t="s">
        <v>188</v>
      </c>
      <c r="PHB16" t="s">
        <v>188</v>
      </c>
      <c r="PHC16" t="s">
        <v>188</v>
      </c>
      <c r="PHD16" t="s">
        <v>188</v>
      </c>
      <c r="PHE16" t="s">
        <v>188</v>
      </c>
      <c r="PHF16" t="s">
        <v>188</v>
      </c>
      <c r="PHG16" t="s">
        <v>188</v>
      </c>
      <c r="PHH16" t="s">
        <v>188</v>
      </c>
      <c r="PHI16" t="s">
        <v>188</v>
      </c>
      <c r="PHJ16" t="s">
        <v>188</v>
      </c>
      <c r="PHK16" t="s">
        <v>188</v>
      </c>
      <c r="PHL16" t="s">
        <v>188</v>
      </c>
      <c r="PHM16" t="s">
        <v>188</v>
      </c>
      <c r="PHN16" t="s">
        <v>188</v>
      </c>
      <c r="PHO16" t="s">
        <v>188</v>
      </c>
      <c r="PHP16" t="s">
        <v>188</v>
      </c>
      <c r="PHQ16" t="s">
        <v>188</v>
      </c>
      <c r="PHR16" t="s">
        <v>188</v>
      </c>
      <c r="PHS16" t="s">
        <v>188</v>
      </c>
      <c r="PHT16" t="s">
        <v>188</v>
      </c>
      <c r="PHU16" t="s">
        <v>188</v>
      </c>
      <c r="PHV16" t="s">
        <v>188</v>
      </c>
      <c r="PHW16" t="s">
        <v>188</v>
      </c>
      <c r="PHX16" t="s">
        <v>188</v>
      </c>
      <c r="PHY16" t="s">
        <v>188</v>
      </c>
      <c r="PHZ16" t="s">
        <v>188</v>
      </c>
      <c r="PIA16" t="s">
        <v>188</v>
      </c>
      <c r="PIB16" t="s">
        <v>188</v>
      </c>
      <c r="PIC16" t="s">
        <v>188</v>
      </c>
      <c r="PID16" t="s">
        <v>188</v>
      </c>
      <c r="PIE16" t="s">
        <v>188</v>
      </c>
      <c r="PIF16" t="s">
        <v>188</v>
      </c>
      <c r="PIG16" t="s">
        <v>188</v>
      </c>
      <c r="PIH16" t="s">
        <v>188</v>
      </c>
      <c r="PII16" t="s">
        <v>188</v>
      </c>
      <c r="PIJ16" t="s">
        <v>188</v>
      </c>
      <c r="PIK16" t="s">
        <v>188</v>
      </c>
      <c r="PIL16" t="s">
        <v>188</v>
      </c>
      <c r="PIM16" t="s">
        <v>188</v>
      </c>
      <c r="PIN16" t="s">
        <v>188</v>
      </c>
      <c r="PIO16" t="s">
        <v>188</v>
      </c>
      <c r="PIP16" t="s">
        <v>188</v>
      </c>
      <c r="PIQ16" t="s">
        <v>188</v>
      </c>
      <c r="PIR16" t="s">
        <v>188</v>
      </c>
      <c r="PIS16" t="s">
        <v>188</v>
      </c>
      <c r="PIT16" t="s">
        <v>188</v>
      </c>
      <c r="PIU16" t="s">
        <v>188</v>
      </c>
      <c r="PIV16" t="s">
        <v>188</v>
      </c>
      <c r="PIW16" t="s">
        <v>188</v>
      </c>
      <c r="PIX16" t="s">
        <v>188</v>
      </c>
      <c r="PIY16" t="s">
        <v>188</v>
      </c>
      <c r="PIZ16" t="s">
        <v>188</v>
      </c>
      <c r="PJA16" t="s">
        <v>188</v>
      </c>
      <c r="PJB16" t="s">
        <v>188</v>
      </c>
      <c r="PJC16" t="s">
        <v>188</v>
      </c>
      <c r="PJD16" t="s">
        <v>188</v>
      </c>
      <c r="PJE16" t="s">
        <v>188</v>
      </c>
      <c r="PJF16" t="s">
        <v>188</v>
      </c>
      <c r="PJG16" t="s">
        <v>188</v>
      </c>
      <c r="PJH16" t="s">
        <v>188</v>
      </c>
      <c r="PJI16" t="s">
        <v>188</v>
      </c>
      <c r="PJJ16" t="s">
        <v>188</v>
      </c>
      <c r="PJK16" t="s">
        <v>188</v>
      </c>
      <c r="PJL16" t="s">
        <v>188</v>
      </c>
      <c r="PJM16" t="s">
        <v>188</v>
      </c>
      <c r="PJN16" t="s">
        <v>188</v>
      </c>
      <c r="PJO16" t="s">
        <v>188</v>
      </c>
      <c r="PJP16" t="s">
        <v>188</v>
      </c>
      <c r="PJQ16" t="s">
        <v>188</v>
      </c>
      <c r="PJR16" t="s">
        <v>188</v>
      </c>
      <c r="PJS16" t="s">
        <v>188</v>
      </c>
      <c r="PJT16" t="s">
        <v>188</v>
      </c>
      <c r="PJU16" t="s">
        <v>188</v>
      </c>
      <c r="PJV16" t="s">
        <v>188</v>
      </c>
      <c r="PJW16" t="s">
        <v>188</v>
      </c>
      <c r="PJX16" t="s">
        <v>188</v>
      </c>
      <c r="PJY16" t="s">
        <v>188</v>
      </c>
      <c r="PJZ16" t="s">
        <v>188</v>
      </c>
      <c r="PKA16" t="s">
        <v>188</v>
      </c>
      <c r="PKB16" t="s">
        <v>188</v>
      </c>
      <c r="PKC16" t="s">
        <v>188</v>
      </c>
      <c r="PKD16" t="s">
        <v>188</v>
      </c>
      <c r="PKE16" t="s">
        <v>188</v>
      </c>
      <c r="PKF16" t="s">
        <v>188</v>
      </c>
      <c r="PKG16" t="s">
        <v>188</v>
      </c>
      <c r="PKH16" t="s">
        <v>188</v>
      </c>
      <c r="PKI16" t="s">
        <v>188</v>
      </c>
      <c r="PKJ16" t="s">
        <v>188</v>
      </c>
      <c r="PKK16" t="s">
        <v>188</v>
      </c>
      <c r="PKL16" t="s">
        <v>188</v>
      </c>
      <c r="PKM16" t="s">
        <v>188</v>
      </c>
      <c r="PKN16" t="s">
        <v>188</v>
      </c>
      <c r="PKO16" t="s">
        <v>188</v>
      </c>
      <c r="PKP16" t="s">
        <v>188</v>
      </c>
      <c r="PKQ16" t="s">
        <v>188</v>
      </c>
      <c r="PKR16" t="s">
        <v>188</v>
      </c>
      <c r="PKS16" t="s">
        <v>188</v>
      </c>
      <c r="PKT16" t="s">
        <v>188</v>
      </c>
      <c r="PKU16" t="s">
        <v>188</v>
      </c>
      <c r="PKV16" t="s">
        <v>188</v>
      </c>
      <c r="PKW16" t="s">
        <v>188</v>
      </c>
      <c r="PKX16" t="s">
        <v>188</v>
      </c>
      <c r="PKY16" t="s">
        <v>188</v>
      </c>
      <c r="PKZ16" t="s">
        <v>188</v>
      </c>
      <c r="PLA16" t="s">
        <v>188</v>
      </c>
      <c r="PLB16" t="s">
        <v>188</v>
      </c>
      <c r="PLC16" t="s">
        <v>188</v>
      </c>
      <c r="PLD16" t="s">
        <v>188</v>
      </c>
      <c r="PLE16" t="s">
        <v>188</v>
      </c>
      <c r="PLF16" t="s">
        <v>188</v>
      </c>
      <c r="PLG16" t="s">
        <v>188</v>
      </c>
      <c r="PLH16" t="s">
        <v>188</v>
      </c>
      <c r="PLI16" t="s">
        <v>188</v>
      </c>
      <c r="PLJ16" t="s">
        <v>188</v>
      </c>
      <c r="PLK16" t="s">
        <v>188</v>
      </c>
      <c r="PLL16" t="s">
        <v>188</v>
      </c>
      <c r="PLM16" t="s">
        <v>188</v>
      </c>
      <c r="PLN16" t="s">
        <v>188</v>
      </c>
      <c r="PLO16" t="s">
        <v>188</v>
      </c>
      <c r="PLP16" t="s">
        <v>188</v>
      </c>
      <c r="PLQ16" t="s">
        <v>188</v>
      </c>
      <c r="PLR16" t="s">
        <v>188</v>
      </c>
      <c r="PLS16" t="s">
        <v>188</v>
      </c>
      <c r="PLT16" t="s">
        <v>188</v>
      </c>
      <c r="PLU16" t="s">
        <v>188</v>
      </c>
      <c r="PLV16" t="s">
        <v>188</v>
      </c>
      <c r="PLW16" t="s">
        <v>188</v>
      </c>
      <c r="PLX16" t="s">
        <v>188</v>
      </c>
      <c r="PLY16" t="s">
        <v>188</v>
      </c>
      <c r="PLZ16" t="s">
        <v>188</v>
      </c>
      <c r="PMA16" t="s">
        <v>188</v>
      </c>
      <c r="PMB16" t="s">
        <v>188</v>
      </c>
      <c r="PMC16" t="s">
        <v>188</v>
      </c>
      <c r="PMD16" t="s">
        <v>188</v>
      </c>
      <c r="PME16" t="s">
        <v>188</v>
      </c>
      <c r="PMF16" t="s">
        <v>188</v>
      </c>
      <c r="PMG16" t="s">
        <v>188</v>
      </c>
      <c r="PMH16" t="s">
        <v>188</v>
      </c>
      <c r="PMI16" t="s">
        <v>188</v>
      </c>
      <c r="PMJ16" t="s">
        <v>188</v>
      </c>
      <c r="PMK16" t="s">
        <v>188</v>
      </c>
      <c r="PML16" t="s">
        <v>188</v>
      </c>
      <c r="PMM16" t="s">
        <v>188</v>
      </c>
      <c r="PMN16" t="s">
        <v>188</v>
      </c>
      <c r="PMO16" t="s">
        <v>188</v>
      </c>
      <c r="PMP16" t="s">
        <v>188</v>
      </c>
      <c r="PMQ16" t="s">
        <v>188</v>
      </c>
      <c r="PMR16" t="s">
        <v>188</v>
      </c>
      <c r="PMS16" t="s">
        <v>188</v>
      </c>
      <c r="PMT16" t="s">
        <v>188</v>
      </c>
      <c r="PMU16" t="s">
        <v>188</v>
      </c>
      <c r="PMV16" t="s">
        <v>188</v>
      </c>
      <c r="PMW16" t="s">
        <v>188</v>
      </c>
      <c r="PMX16" t="s">
        <v>188</v>
      </c>
      <c r="PMY16" t="s">
        <v>188</v>
      </c>
      <c r="PMZ16" t="s">
        <v>188</v>
      </c>
      <c r="PNA16" t="s">
        <v>188</v>
      </c>
      <c r="PNB16" t="s">
        <v>188</v>
      </c>
      <c r="PNC16" t="s">
        <v>188</v>
      </c>
      <c r="PND16" t="s">
        <v>188</v>
      </c>
      <c r="PNE16" t="s">
        <v>188</v>
      </c>
      <c r="PNF16" t="s">
        <v>188</v>
      </c>
      <c r="PNG16" t="s">
        <v>188</v>
      </c>
      <c r="PNH16" t="s">
        <v>188</v>
      </c>
      <c r="PNI16" t="s">
        <v>188</v>
      </c>
      <c r="PNJ16" t="s">
        <v>188</v>
      </c>
      <c r="PNK16" t="s">
        <v>188</v>
      </c>
      <c r="PNL16" t="s">
        <v>188</v>
      </c>
      <c r="PNM16" t="s">
        <v>188</v>
      </c>
      <c r="PNN16" t="s">
        <v>188</v>
      </c>
      <c r="PNO16" t="s">
        <v>188</v>
      </c>
      <c r="PNP16" t="s">
        <v>188</v>
      </c>
      <c r="PNQ16" t="s">
        <v>188</v>
      </c>
      <c r="PNR16" t="s">
        <v>188</v>
      </c>
      <c r="PNS16" t="s">
        <v>188</v>
      </c>
      <c r="PNT16" t="s">
        <v>188</v>
      </c>
      <c r="PNU16" t="s">
        <v>188</v>
      </c>
      <c r="PNV16" t="s">
        <v>188</v>
      </c>
      <c r="PNW16" t="s">
        <v>188</v>
      </c>
      <c r="PNX16" t="s">
        <v>188</v>
      </c>
      <c r="PNY16" t="s">
        <v>188</v>
      </c>
      <c r="PNZ16" t="s">
        <v>188</v>
      </c>
      <c r="POA16" t="s">
        <v>188</v>
      </c>
      <c r="POB16" t="s">
        <v>188</v>
      </c>
      <c r="POC16" t="s">
        <v>188</v>
      </c>
      <c r="POD16" t="s">
        <v>188</v>
      </c>
      <c r="POE16" t="s">
        <v>188</v>
      </c>
      <c r="POF16" t="s">
        <v>188</v>
      </c>
      <c r="POG16" t="s">
        <v>188</v>
      </c>
      <c r="POH16" t="s">
        <v>188</v>
      </c>
      <c r="POI16" t="s">
        <v>188</v>
      </c>
      <c r="POJ16" t="s">
        <v>188</v>
      </c>
      <c r="POK16" t="s">
        <v>188</v>
      </c>
      <c r="POL16" t="s">
        <v>188</v>
      </c>
      <c r="POM16" t="s">
        <v>188</v>
      </c>
      <c r="PON16" t="s">
        <v>188</v>
      </c>
      <c r="POO16" t="s">
        <v>188</v>
      </c>
      <c r="POP16" t="s">
        <v>188</v>
      </c>
      <c r="POQ16" t="s">
        <v>188</v>
      </c>
      <c r="POR16" t="s">
        <v>188</v>
      </c>
      <c r="POS16" t="s">
        <v>188</v>
      </c>
      <c r="POT16" t="s">
        <v>188</v>
      </c>
      <c r="POU16" t="s">
        <v>188</v>
      </c>
      <c r="POV16" t="s">
        <v>188</v>
      </c>
      <c r="POW16" t="s">
        <v>188</v>
      </c>
      <c r="POX16" t="s">
        <v>188</v>
      </c>
      <c r="POY16" t="s">
        <v>188</v>
      </c>
      <c r="POZ16" t="s">
        <v>188</v>
      </c>
      <c r="PPA16" t="s">
        <v>188</v>
      </c>
      <c r="PPB16" t="s">
        <v>188</v>
      </c>
      <c r="PPC16" t="s">
        <v>188</v>
      </c>
      <c r="PPD16" t="s">
        <v>188</v>
      </c>
      <c r="PPE16" t="s">
        <v>188</v>
      </c>
      <c r="PPF16" t="s">
        <v>188</v>
      </c>
      <c r="PPG16" t="s">
        <v>188</v>
      </c>
      <c r="PPH16" t="s">
        <v>188</v>
      </c>
      <c r="PPI16" t="s">
        <v>188</v>
      </c>
      <c r="PPJ16" t="s">
        <v>188</v>
      </c>
      <c r="PPK16" t="s">
        <v>188</v>
      </c>
      <c r="PPL16" t="s">
        <v>188</v>
      </c>
      <c r="PPM16" t="s">
        <v>188</v>
      </c>
      <c r="PPN16" t="s">
        <v>188</v>
      </c>
      <c r="PPO16" t="s">
        <v>188</v>
      </c>
      <c r="PPP16" t="s">
        <v>188</v>
      </c>
      <c r="PPQ16" t="s">
        <v>188</v>
      </c>
      <c r="PPR16" t="s">
        <v>188</v>
      </c>
      <c r="PPS16" t="s">
        <v>188</v>
      </c>
      <c r="PPT16" t="s">
        <v>188</v>
      </c>
      <c r="PPU16" t="s">
        <v>188</v>
      </c>
      <c r="PPV16" t="s">
        <v>188</v>
      </c>
      <c r="PPW16" t="s">
        <v>188</v>
      </c>
      <c r="PPX16" t="s">
        <v>188</v>
      </c>
      <c r="PPY16" t="s">
        <v>188</v>
      </c>
      <c r="PPZ16" t="s">
        <v>188</v>
      </c>
      <c r="PQA16" t="s">
        <v>188</v>
      </c>
      <c r="PQB16" t="s">
        <v>188</v>
      </c>
      <c r="PQC16" t="s">
        <v>188</v>
      </c>
      <c r="PQD16" t="s">
        <v>188</v>
      </c>
      <c r="PQE16" t="s">
        <v>188</v>
      </c>
      <c r="PQF16" t="s">
        <v>188</v>
      </c>
      <c r="PQG16" t="s">
        <v>188</v>
      </c>
      <c r="PQH16" t="s">
        <v>188</v>
      </c>
      <c r="PQI16" t="s">
        <v>188</v>
      </c>
      <c r="PQJ16" t="s">
        <v>188</v>
      </c>
      <c r="PQK16" t="s">
        <v>188</v>
      </c>
      <c r="PQL16" t="s">
        <v>188</v>
      </c>
      <c r="PQM16" t="s">
        <v>188</v>
      </c>
      <c r="PQN16" t="s">
        <v>188</v>
      </c>
      <c r="PQO16" t="s">
        <v>188</v>
      </c>
      <c r="PQP16" t="s">
        <v>188</v>
      </c>
      <c r="PQQ16" t="s">
        <v>188</v>
      </c>
      <c r="PQR16" t="s">
        <v>188</v>
      </c>
      <c r="PQS16" t="s">
        <v>188</v>
      </c>
      <c r="PQT16" t="s">
        <v>188</v>
      </c>
      <c r="PQU16" t="s">
        <v>188</v>
      </c>
      <c r="PQV16" t="s">
        <v>188</v>
      </c>
      <c r="PQW16" t="s">
        <v>188</v>
      </c>
      <c r="PQX16" t="s">
        <v>188</v>
      </c>
      <c r="PQY16" t="s">
        <v>188</v>
      </c>
      <c r="PQZ16" t="s">
        <v>188</v>
      </c>
      <c r="PRA16" t="s">
        <v>188</v>
      </c>
      <c r="PRB16" t="s">
        <v>188</v>
      </c>
      <c r="PRC16" t="s">
        <v>188</v>
      </c>
      <c r="PRD16" t="s">
        <v>188</v>
      </c>
      <c r="PRE16" t="s">
        <v>188</v>
      </c>
      <c r="PRF16" t="s">
        <v>188</v>
      </c>
      <c r="PRG16" t="s">
        <v>188</v>
      </c>
      <c r="PRH16" t="s">
        <v>188</v>
      </c>
      <c r="PRI16" t="s">
        <v>188</v>
      </c>
      <c r="PRJ16" t="s">
        <v>188</v>
      </c>
      <c r="PRK16" t="s">
        <v>188</v>
      </c>
      <c r="PRL16" t="s">
        <v>188</v>
      </c>
      <c r="PRM16" t="s">
        <v>188</v>
      </c>
      <c r="PRN16" t="s">
        <v>188</v>
      </c>
      <c r="PRO16" t="s">
        <v>188</v>
      </c>
      <c r="PRP16" t="s">
        <v>188</v>
      </c>
      <c r="PRQ16" t="s">
        <v>188</v>
      </c>
      <c r="PRR16" t="s">
        <v>188</v>
      </c>
      <c r="PRS16" t="s">
        <v>188</v>
      </c>
      <c r="PRT16" t="s">
        <v>188</v>
      </c>
      <c r="PRU16" t="s">
        <v>188</v>
      </c>
      <c r="PRV16" t="s">
        <v>188</v>
      </c>
      <c r="PRW16" t="s">
        <v>188</v>
      </c>
      <c r="PRX16" t="s">
        <v>188</v>
      </c>
      <c r="PRY16" t="s">
        <v>188</v>
      </c>
      <c r="PRZ16" t="s">
        <v>188</v>
      </c>
      <c r="PSA16" t="s">
        <v>188</v>
      </c>
      <c r="PSB16" t="s">
        <v>188</v>
      </c>
      <c r="PSC16" t="s">
        <v>188</v>
      </c>
      <c r="PSD16" t="s">
        <v>188</v>
      </c>
      <c r="PSE16" t="s">
        <v>188</v>
      </c>
      <c r="PSF16" t="s">
        <v>188</v>
      </c>
      <c r="PSG16" t="s">
        <v>188</v>
      </c>
      <c r="PSH16" t="s">
        <v>188</v>
      </c>
      <c r="PSI16" t="s">
        <v>188</v>
      </c>
      <c r="PSJ16" t="s">
        <v>188</v>
      </c>
      <c r="PSK16" t="s">
        <v>188</v>
      </c>
      <c r="PSL16" t="s">
        <v>188</v>
      </c>
      <c r="PSM16" t="s">
        <v>188</v>
      </c>
      <c r="PSN16" t="s">
        <v>188</v>
      </c>
      <c r="PSO16" t="s">
        <v>188</v>
      </c>
      <c r="PSP16" t="s">
        <v>188</v>
      </c>
      <c r="PSQ16" t="s">
        <v>188</v>
      </c>
      <c r="PSR16" t="s">
        <v>188</v>
      </c>
      <c r="PSS16" t="s">
        <v>188</v>
      </c>
      <c r="PST16" t="s">
        <v>188</v>
      </c>
      <c r="PSU16" t="s">
        <v>188</v>
      </c>
      <c r="PSV16" t="s">
        <v>188</v>
      </c>
      <c r="PSW16" t="s">
        <v>188</v>
      </c>
      <c r="PSX16" t="s">
        <v>188</v>
      </c>
      <c r="PSY16" t="s">
        <v>188</v>
      </c>
      <c r="PSZ16" t="s">
        <v>188</v>
      </c>
      <c r="PTA16" t="s">
        <v>188</v>
      </c>
      <c r="PTB16" t="s">
        <v>188</v>
      </c>
      <c r="PTC16" t="s">
        <v>188</v>
      </c>
      <c r="PTD16" t="s">
        <v>188</v>
      </c>
      <c r="PTE16" t="s">
        <v>188</v>
      </c>
      <c r="PTF16" t="s">
        <v>188</v>
      </c>
      <c r="PTG16" t="s">
        <v>188</v>
      </c>
      <c r="PTH16" t="s">
        <v>188</v>
      </c>
      <c r="PTI16" t="s">
        <v>188</v>
      </c>
      <c r="PTJ16" t="s">
        <v>188</v>
      </c>
      <c r="PTK16" t="s">
        <v>188</v>
      </c>
      <c r="PTL16" t="s">
        <v>188</v>
      </c>
      <c r="PTM16" t="s">
        <v>188</v>
      </c>
      <c r="PTN16" t="s">
        <v>188</v>
      </c>
      <c r="PTO16" t="s">
        <v>188</v>
      </c>
      <c r="PTP16" t="s">
        <v>188</v>
      </c>
      <c r="PTQ16" t="s">
        <v>188</v>
      </c>
      <c r="PTR16" t="s">
        <v>188</v>
      </c>
      <c r="PTS16" t="s">
        <v>188</v>
      </c>
      <c r="PTT16" t="s">
        <v>188</v>
      </c>
      <c r="PTU16" t="s">
        <v>188</v>
      </c>
      <c r="PTV16" t="s">
        <v>188</v>
      </c>
      <c r="PTW16" t="s">
        <v>188</v>
      </c>
      <c r="PTX16" t="s">
        <v>188</v>
      </c>
      <c r="PTY16" t="s">
        <v>188</v>
      </c>
      <c r="PTZ16" t="s">
        <v>188</v>
      </c>
      <c r="PUA16" t="s">
        <v>188</v>
      </c>
      <c r="PUB16" t="s">
        <v>188</v>
      </c>
      <c r="PUC16" t="s">
        <v>188</v>
      </c>
      <c r="PUD16" t="s">
        <v>188</v>
      </c>
      <c r="PUE16" t="s">
        <v>188</v>
      </c>
      <c r="PUF16" t="s">
        <v>188</v>
      </c>
      <c r="PUG16" t="s">
        <v>188</v>
      </c>
      <c r="PUH16" t="s">
        <v>188</v>
      </c>
      <c r="PUI16" t="s">
        <v>188</v>
      </c>
      <c r="PUJ16" t="s">
        <v>188</v>
      </c>
      <c r="PUK16" t="s">
        <v>188</v>
      </c>
      <c r="PUL16" t="s">
        <v>188</v>
      </c>
      <c r="PUM16" t="s">
        <v>188</v>
      </c>
      <c r="PUN16" t="s">
        <v>188</v>
      </c>
      <c r="PUO16" t="s">
        <v>188</v>
      </c>
      <c r="PUP16" t="s">
        <v>188</v>
      </c>
      <c r="PUQ16" t="s">
        <v>188</v>
      </c>
      <c r="PUR16" t="s">
        <v>188</v>
      </c>
      <c r="PUS16" t="s">
        <v>188</v>
      </c>
      <c r="PUT16" t="s">
        <v>188</v>
      </c>
      <c r="PUU16" t="s">
        <v>188</v>
      </c>
      <c r="PUV16" t="s">
        <v>188</v>
      </c>
      <c r="PUW16" t="s">
        <v>188</v>
      </c>
      <c r="PUX16" t="s">
        <v>188</v>
      </c>
      <c r="PUY16" t="s">
        <v>188</v>
      </c>
      <c r="PUZ16" t="s">
        <v>188</v>
      </c>
      <c r="PVA16" t="s">
        <v>188</v>
      </c>
      <c r="PVB16" t="s">
        <v>188</v>
      </c>
      <c r="PVC16" t="s">
        <v>188</v>
      </c>
      <c r="PVD16" t="s">
        <v>188</v>
      </c>
      <c r="PVE16" t="s">
        <v>188</v>
      </c>
      <c r="PVF16" t="s">
        <v>188</v>
      </c>
      <c r="PVG16" t="s">
        <v>188</v>
      </c>
      <c r="PVH16" t="s">
        <v>188</v>
      </c>
      <c r="PVI16" t="s">
        <v>188</v>
      </c>
      <c r="PVJ16" t="s">
        <v>188</v>
      </c>
      <c r="PVK16" t="s">
        <v>188</v>
      </c>
      <c r="PVL16" t="s">
        <v>188</v>
      </c>
      <c r="PVM16" t="s">
        <v>188</v>
      </c>
      <c r="PVN16" t="s">
        <v>188</v>
      </c>
      <c r="PVO16" t="s">
        <v>188</v>
      </c>
      <c r="PVP16" t="s">
        <v>188</v>
      </c>
      <c r="PVQ16" t="s">
        <v>188</v>
      </c>
      <c r="PVR16" t="s">
        <v>188</v>
      </c>
      <c r="PVS16" t="s">
        <v>188</v>
      </c>
      <c r="PVT16" t="s">
        <v>188</v>
      </c>
      <c r="PVU16" t="s">
        <v>188</v>
      </c>
      <c r="PVV16" t="s">
        <v>188</v>
      </c>
      <c r="PVW16" t="s">
        <v>188</v>
      </c>
      <c r="PVX16" t="s">
        <v>188</v>
      </c>
      <c r="PVY16" t="s">
        <v>188</v>
      </c>
      <c r="PVZ16" t="s">
        <v>188</v>
      </c>
      <c r="PWA16" t="s">
        <v>188</v>
      </c>
      <c r="PWB16" t="s">
        <v>188</v>
      </c>
      <c r="PWC16" t="s">
        <v>188</v>
      </c>
      <c r="PWD16" t="s">
        <v>188</v>
      </c>
      <c r="PWE16" t="s">
        <v>188</v>
      </c>
      <c r="PWF16" t="s">
        <v>188</v>
      </c>
      <c r="PWG16" t="s">
        <v>188</v>
      </c>
      <c r="PWH16" t="s">
        <v>188</v>
      </c>
      <c r="PWI16" t="s">
        <v>188</v>
      </c>
      <c r="PWJ16" t="s">
        <v>188</v>
      </c>
      <c r="PWK16" t="s">
        <v>188</v>
      </c>
      <c r="PWL16" t="s">
        <v>188</v>
      </c>
      <c r="PWM16" t="s">
        <v>188</v>
      </c>
      <c r="PWN16" t="s">
        <v>188</v>
      </c>
      <c r="PWO16" t="s">
        <v>188</v>
      </c>
      <c r="PWP16" t="s">
        <v>188</v>
      </c>
      <c r="PWQ16" t="s">
        <v>188</v>
      </c>
      <c r="PWR16" t="s">
        <v>188</v>
      </c>
      <c r="PWS16" t="s">
        <v>188</v>
      </c>
      <c r="PWT16" t="s">
        <v>188</v>
      </c>
      <c r="PWU16" t="s">
        <v>188</v>
      </c>
      <c r="PWV16" t="s">
        <v>188</v>
      </c>
      <c r="PWW16" t="s">
        <v>188</v>
      </c>
      <c r="PWX16" t="s">
        <v>188</v>
      </c>
      <c r="PWY16" t="s">
        <v>188</v>
      </c>
      <c r="PWZ16" t="s">
        <v>188</v>
      </c>
      <c r="PXA16" t="s">
        <v>188</v>
      </c>
      <c r="PXB16" t="s">
        <v>188</v>
      </c>
      <c r="PXC16" t="s">
        <v>188</v>
      </c>
      <c r="PXD16" t="s">
        <v>188</v>
      </c>
      <c r="PXE16" t="s">
        <v>188</v>
      </c>
      <c r="PXF16" t="s">
        <v>188</v>
      </c>
      <c r="PXG16" t="s">
        <v>188</v>
      </c>
      <c r="PXH16" t="s">
        <v>188</v>
      </c>
      <c r="PXI16" t="s">
        <v>188</v>
      </c>
      <c r="PXJ16" t="s">
        <v>188</v>
      </c>
      <c r="PXK16" t="s">
        <v>188</v>
      </c>
      <c r="PXL16" t="s">
        <v>188</v>
      </c>
      <c r="PXM16" t="s">
        <v>188</v>
      </c>
      <c r="PXN16" t="s">
        <v>188</v>
      </c>
      <c r="PXO16" t="s">
        <v>188</v>
      </c>
      <c r="PXP16" t="s">
        <v>188</v>
      </c>
      <c r="PXQ16" t="s">
        <v>188</v>
      </c>
      <c r="PXR16" t="s">
        <v>188</v>
      </c>
      <c r="PXS16" t="s">
        <v>188</v>
      </c>
      <c r="PXT16" t="s">
        <v>188</v>
      </c>
      <c r="PXU16" t="s">
        <v>188</v>
      </c>
      <c r="PXV16" t="s">
        <v>188</v>
      </c>
      <c r="PXW16" t="s">
        <v>188</v>
      </c>
      <c r="PXX16" t="s">
        <v>188</v>
      </c>
      <c r="PXY16" t="s">
        <v>188</v>
      </c>
      <c r="PXZ16" t="s">
        <v>188</v>
      </c>
      <c r="PYA16" t="s">
        <v>188</v>
      </c>
      <c r="PYB16" t="s">
        <v>188</v>
      </c>
      <c r="PYC16" t="s">
        <v>188</v>
      </c>
      <c r="PYD16" t="s">
        <v>188</v>
      </c>
      <c r="PYE16" t="s">
        <v>188</v>
      </c>
      <c r="PYF16" t="s">
        <v>188</v>
      </c>
      <c r="PYG16" t="s">
        <v>188</v>
      </c>
      <c r="PYH16" t="s">
        <v>188</v>
      </c>
      <c r="PYI16" t="s">
        <v>188</v>
      </c>
      <c r="PYJ16" t="s">
        <v>188</v>
      </c>
      <c r="PYK16" t="s">
        <v>188</v>
      </c>
      <c r="PYL16" t="s">
        <v>188</v>
      </c>
      <c r="PYM16" t="s">
        <v>188</v>
      </c>
      <c r="PYN16" t="s">
        <v>188</v>
      </c>
      <c r="PYO16" t="s">
        <v>188</v>
      </c>
      <c r="PYP16" t="s">
        <v>188</v>
      </c>
      <c r="PYQ16" t="s">
        <v>188</v>
      </c>
      <c r="PYR16" t="s">
        <v>188</v>
      </c>
      <c r="PYS16" t="s">
        <v>188</v>
      </c>
      <c r="PYT16" t="s">
        <v>188</v>
      </c>
      <c r="PYU16" t="s">
        <v>188</v>
      </c>
      <c r="PYV16" t="s">
        <v>188</v>
      </c>
      <c r="PYW16" t="s">
        <v>188</v>
      </c>
      <c r="PYX16" t="s">
        <v>188</v>
      </c>
      <c r="PYY16" t="s">
        <v>188</v>
      </c>
      <c r="PYZ16" t="s">
        <v>188</v>
      </c>
      <c r="PZA16" t="s">
        <v>188</v>
      </c>
      <c r="PZB16" t="s">
        <v>188</v>
      </c>
      <c r="PZC16" t="s">
        <v>188</v>
      </c>
      <c r="PZD16" t="s">
        <v>188</v>
      </c>
      <c r="PZE16" t="s">
        <v>188</v>
      </c>
      <c r="PZF16" t="s">
        <v>188</v>
      </c>
      <c r="PZG16" t="s">
        <v>188</v>
      </c>
      <c r="PZH16" t="s">
        <v>188</v>
      </c>
      <c r="PZI16" t="s">
        <v>188</v>
      </c>
      <c r="PZJ16" t="s">
        <v>188</v>
      </c>
      <c r="PZK16" t="s">
        <v>188</v>
      </c>
      <c r="PZL16" t="s">
        <v>188</v>
      </c>
      <c r="PZM16" t="s">
        <v>188</v>
      </c>
      <c r="PZN16" t="s">
        <v>188</v>
      </c>
      <c r="PZO16" t="s">
        <v>188</v>
      </c>
      <c r="PZP16" t="s">
        <v>188</v>
      </c>
      <c r="PZQ16" t="s">
        <v>188</v>
      </c>
      <c r="PZR16" t="s">
        <v>188</v>
      </c>
      <c r="PZS16" t="s">
        <v>188</v>
      </c>
      <c r="PZT16" t="s">
        <v>188</v>
      </c>
      <c r="PZU16" t="s">
        <v>188</v>
      </c>
      <c r="PZV16" t="s">
        <v>188</v>
      </c>
      <c r="PZW16" t="s">
        <v>188</v>
      </c>
      <c r="PZX16" t="s">
        <v>188</v>
      </c>
      <c r="PZY16" t="s">
        <v>188</v>
      </c>
      <c r="PZZ16" t="s">
        <v>188</v>
      </c>
      <c r="QAA16" t="s">
        <v>188</v>
      </c>
      <c r="QAB16" t="s">
        <v>188</v>
      </c>
      <c r="QAC16" t="s">
        <v>188</v>
      </c>
      <c r="QAD16" t="s">
        <v>188</v>
      </c>
      <c r="QAE16" t="s">
        <v>188</v>
      </c>
      <c r="QAF16" t="s">
        <v>188</v>
      </c>
      <c r="QAG16" t="s">
        <v>188</v>
      </c>
      <c r="QAH16" t="s">
        <v>188</v>
      </c>
      <c r="QAI16" t="s">
        <v>188</v>
      </c>
      <c r="QAJ16" t="s">
        <v>188</v>
      </c>
      <c r="QAK16" t="s">
        <v>188</v>
      </c>
      <c r="QAL16" t="s">
        <v>188</v>
      </c>
      <c r="QAM16" t="s">
        <v>188</v>
      </c>
      <c r="QAN16" t="s">
        <v>188</v>
      </c>
      <c r="QAO16" t="s">
        <v>188</v>
      </c>
      <c r="QAP16" t="s">
        <v>188</v>
      </c>
      <c r="QAQ16" t="s">
        <v>188</v>
      </c>
      <c r="QAR16" t="s">
        <v>188</v>
      </c>
      <c r="QAS16" t="s">
        <v>188</v>
      </c>
      <c r="QAT16" t="s">
        <v>188</v>
      </c>
      <c r="QAU16" t="s">
        <v>188</v>
      </c>
      <c r="QAV16" t="s">
        <v>188</v>
      </c>
      <c r="QAW16" t="s">
        <v>188</v>
      </c>
      <c r="QAX16" t="s">
        <v>188</v>
      </c>
      <c r="QAY16" t="s">
        <v>188</v>
      </c>
      <c r="QAZ16" t="s">
        <v>188</v>
      </c>
      <c r="QBA16" t="s">
        <v>188</v>
      </c>
      <c r="QBB16" t="s">
        <v>188</v>
      </c>
      <c r="QBC16" t="s">
        <v>188</v>
      </c>
      <c r="QBD16" t="s">
        <v>188</v>
      </c>
      <c r="QBE16" t="s">
        <v>188</v>
      </c>
      <c r="QBF16" t="s">
        <v>188</v>
      </c>
      <c r="QBG16" t="s">
        <v>188</v>
      </c>
      <c r="QBH16" t="s">
        <v>188</v>
      </c>
      <c r="QBI16" t="s">
        <v>188</v>
      </c>
      <c r="QBJ16" t="s">
        <v>188</v>
      </c>
      <c r="QBK16" t="s">
        <v>188</v>
      </c>
      <c r="QBL16" t="s">
        <v>188</v>
      </c>
      <c r="QBM16" t="s">
        <v>188</v>
      </c>
      <c r="QBN16" t="s">
        <v>188</v>
      </c>
      <c r="QBO16" t="s">
        <v>188</v>
      </c>
      <c r="QBP16" t="s">
        <v>188</v>
      </c>
      <c r="QBQ16" t="s">
        <v>188</v>
      </c>
      <c r="QBR16" t="s">
        <v>188</v>
      </c>
      <c r="QBS16" t="s">
        <v>188</v>
      </c>
      <c r="QBT16" t="s">
        <v>188</v>
      </c>
      <c r="QBU16" t="s">
        <v>188</v>
      </c>
      <c r="QBV16" t="s">
        <v>188</v>
      </c>
      <c r="QBW16" t="s">
        <v>188</v>
      </c>
      <c r="QBX16" t="s">
        <v>188</v>
      </c>
      <c r="QBY16" t="s">
        <v>188</v>
      </c>
      <c r="QBZ16" t="s">
        <v>188</v>
      </c>
      <c r="QCA16" t="s">
        <v>188</v>
      </c>
      <c r="QCB16" t="s">
        <v>188</v>
      </c>
      <c r="QCC16" t="s">
        <v>188</v>
      </c>
      <c r="QCD16" t="s">
        <v>188</v>
      </c>
      <c r="QCE16" t="s">
        <v>188</v>
      </c>
      <c r="QCF16" t="s">
        <v>188</v>
      </c>
      <c r="QCG16" t="s">
        <v>188</v>
      </c>
      <c r="QCH16" t="s">
        <v>188</v>
      </c>
      <c r="QCI16" t="s">
        <v>188</v>
      </c>
      <c r="QCJ16" t="s">
        <v>188</v>
      </c>
      <c r="QCK16" t="s">
        <v>188</v>
      </c>
      <c r="QCL16" t="s">
        <v>188</v>
      </c>
      <c r="QCM16" t="s">
        <v>188</v>
      </c>
      <c r="QCN16" t="s">
        <v>188</v>
      </c>
      <c r="QCO16" t="s">
        <v>188</v>
      </c>
      <c r="QCP16" t="s">
        <v>188</v>
      </c>
      <c r="QCQ16" t="s">
        <v>188</v>
      </c>
      <c r="QCR16" t="s">
        <v>188</v>
      </c>
      <c r="QCS16" t="s">
        <v>188</v>
      </c>
      <c r="QCT16" t="s">
        <v>188</v>
      </c>
      <c r="QCU16" t="s">
        <v>188</v>
      </c>
      <c r="QCV16" t="s">
        <v>188</v>
      </c>
      <c r="QCW16" t="s">
        <v>188</v>
      </c>
      <c r="QCX16" t="s">
        <v>188</v>
      </c>
      <c r="QCY16" t="s">
        <v>188</v>
      </c>
      <c r="QCZ16" t="s">
        <v>188</v>
      </c>
      <c r="QDA16" t="s">
        <v>188</v>
      </c>
      <c r="QDB16" t="s">
        <v>188</v>
      </c>
      <c r="QDC16" t="s">
        <v>188</v>
      </c>
      <c r="QDD16" t="s">
        <v>188</v>
      </c>
      <c r="QDE16" t="s">
        <v>188</v>
      </c>
      <c r="QDF16" t="s">
        <v>188</v>
      </c>
      <c r="QDG16" t="s">
        <v>188</v>
      </c>
      <c r="QDH16" t="s">
        <v>188</v>
      </c>
      <c r="QDI16" t="s">
        <v>188</v>
      </c>
      <c r="QDJ16" t="s">
        <v>188</v>
      </c>
      <c r="QDK16" t="s">
        <v>188</v>
      </c>
      <c r="QDL16" t="s">
        <v>188</v>
      </c>
      <c r="QDM16" t="s">
        <v>188</v>
      </c>
      <c r="QDN16" t="s">
        <v>188</v>
      </c>
      <c r="QDO16" t="s">
        <v>188</v>
      </c>
      <c r="QDP16" t="s">
        <v>188</v>
      </c>
      <c r="QDQ16" t="s">
        <v>188</v>
      </c>
      <c r="QDR16" t="s">
        <v>188</v>
      </c>
      <c r="QDS16" t="s">
        <v>188</v>
      </c>
      <c r="QDT16" t="s">
        <v>188</v>
      </c>
      <c r="QDU16" t="s">
        <v>188</v>
      </c>
      <c r="QDV16" t="s">
        <v>188</v>
      </c>
      <c r="QDW16" t="s">
        <v>188</v>
      </c>
      <c r="QDX16" t="s">
        <v>188</v>
      </c>
      <c r="QDY16" t="s">
        <v>188</v>
      </c>
      <c r="QDZ16" t="s">
        <v>188</v>
      </c>
      <c r="QEA16" t="s">
        <v>188</v>
      </c>
      <c r="QEB16" t="s">
        <v>188</v>
      </c>
      <c r="QEC16" t="s">
        <v>188</v>
      </c>
      <c r="QED16" t="s">
        <v>188</v>
      </c>
      <c r="QEE16" t="s">
        <v>188</v>
      </c>
      <c r="QEF16" t="s">
        <v>188</v>
      </c>
      <c r="QEG16" t="s">
        <v>188</v>
      </c>
      <c r="QEH16" t="s">
        <v>188</v>
      </c>
      <c r="QEI16" t="s">
        <v>188</v>
      </c>
      <c r="QEJ16" t="s">
        <v>188</v>
      </c>
      <c r="QEK16" t="s">
        <v>188</v>
      </c>
      <c r="QEL16" t="s">
        <v>188</v>
      </c>
      <c r="QEM16" t="s">
        <v>188</v>
      </c>
      <c r="QEN16" t="s">
        <v>188</v>
      </c>
      <c r="QEO16" t="s">
        <v>188</v>
      </c>
      <c r="QEP16" t="s">
        <v>188</v>
      </c>
      <c r="QEQ16" t="s">
        <v>188</v>
      </c>
      <c r="QER16" t="s">
        <v>188</v>
      </c>
      <c r="QES16" t="s">
        <v>188</v>
      </c>
      <c r="QET16" t="s">
        <v>188</v>
      </c>
      <c r="QEU16" t="s">
        <v>188</v>
      </c>
      <c r="QEV16" t="s">
        <v>188</v>
      </c>
      <c r="QEW16" t="s">
        <v>188</v>
      </c>
      <c r="QEX16" t="s">
        <v>188</v>
      </c>
      <c r="QEY16" t="s">
        <v>188</v>
      </c>
      <c r="QEZ16" t="s">
        <v>188</v>
      </c>
      <c r="QFA16" t="s">
        <v>188</v>
      </c>
      <c r="QFB16" t="s">
        <v>188</v>
      </c>
      <c r="QFC16" t="s">
        <v>188</v>
      </c>
      <c r="QFD16" t="s">
        <v>188</v>
      </c>
      <c r="QFE16" t="s">
        <v>188</v>
      </c>
      <c r="QFF16" t="s">
        <v>188</v>
      </c>
      <c r="QFG16" t="s">
        <v>188</v>
      </c>
      <c r="QFH16" t="s">
        <v>188</v>
      </c>
      <c r="QFI16" t="s">
        <v>188</v>
      </c>
      <c r="QFJ16" t="s">
        <v>188</v>
      </c>
      <c r="QFK16" t="s">
        <v>188</v>
      </c>
      <c r="QFL16" t="s">
        <v>188</v>
      </c>
      <c r="QFM16" t="s">
        <v>188</v>
      </c>
      <c r="QFN16" t="s">
        <v>188</v>
      </c>
      <c r="QFO16" t="s">
        <v>188</v>
      </c>
      <c r="QFP16" t="s">
        <v>188</v>
      </c>
      <c r="QFQ16" t="s">
        <v>188</v>
      </c>
      <c r="QFR16" t="s">
        <v>188</v>
      </c>
      <c r="QFS16" t="s">
        <v>188</v>
      </c>
      <c r="QFT16" t="s">
        <v>188</v>
      </c>
      <c r="QFU16" t="s">
        <v>188</v>
      </c>
      <c r="QFV16" t="s">
        <v>188</v>
      </c>
      <c r="QFW16" t="s">
        <v>188</v>
      </c>
      <c r="QFX16" t="s">
        <v>188</v>
      </c>
      <c r="QFY16" t="s">
        <v>188</v>
      </c>
      <c r="QFZ16" t="s">
        <v>188</v>
      </c>
      <c r="QGA16" t="s">
        <v>188</v>
      </c>
      <c r="QGB16" t="s">
        <v>188</v>
      </c>
      <c r="QGC16" t="s">
        <v>188</v>
      </c>
      <c r="QGD16" t="s">
        <v>188</v>
      </c>
      <c r="QGE16" t="s">
        <v>188</v>
      </c>
      <c r="QGF16" t="s">
        <v>188</v>
      </c>
      <c r="QGG16" t="s">
        <v>188</v>
      </c>
      <c r="QGH16" t="s">
        <v>188</v>
      </c>
      <c r="QGI16" t="s">
        <v>188</v>
      </c>
      <c r="QGJ16" t="s">
        <v>188</v>
      </c>
      <c r="QGK16" t="s">
        <v>188</v>
      </c>
      <c r="QGL16" t="s">
        <v>188</v>
      </c>
      <c r="QGM16" t="s">
        <v>188</v>
      </c>
      <c r="QGN16" t="s">
        <v>188</v>
      </c>
      <c r="QGO16" t="s">
        <v>188</v>
      </c>
      <c r="QGP16" t="s">
        <v>188</v>
      </c>
      <c r="QGQ16" t="s">
        <v>188</v>
      </c>
      <c r="QGR16" t="s">
        <v>188</v>
      </c>
      <c r="QGS16" t="s">
        <v>188</v>
      </c>
      <c r="QGT16" t="s">
        <v>188</v>
      </c>
      <c r="QGU16" t="s">
        <v>188</v>
      </c>
      <c r="QGV16" t="s">
        <v>188</v>
      </c>
      <c r="QGW16" t="s">
        <v>188</v>
      </c>
      <c r="QGX16" t="s">
        <v>188</v>
      </c>
      <c r="QGY16" t="s">
        <v>188</v>
      </c>
      <c r="QGZ16" t="s">
        <v>188</v>
      </c>
      <c r="QHA16" t="s">
        <v>188</v>
      </c>
      <c r="QHB16" t="s">
        <v>188</v>
      </c>
      <c r="QHC16" t="s">
        <v>188</v>
      </c>
      <c r="QHD16" t="s">
        <v>188</v>
      </c>
      <c r="QHE16" t="s">
        <v>188</v>
      </c>
      <c r="QHF16" t="s">
        <v>188</v>
      </c>
      <c r="QHG16" t="s">
        <v>188</v>
      </c>
      <c r="QHH16" t="s">
        <v>188</v>
      </c>
      <c r="QHI16" t="s">
        <v>188</v>
      </c>
      <c r="QHJ16" t="s">
        <v>188</v>
      </c>
      <c r="QHK16" t="s">
        <v>188</v>
      </c>
      <c r="QHL16" t="s">
        <v>188</v>
      </c>
      <c r="QHM16" t="s">
        <v>188</v>
      </c>
      <c r="QHN16" t="s">
        <v>188</v>
      </c>
      <c r="QHO16" t="s">
        <v>188</v>
      </c>
      <c r="QHP16" t="s">
        <v>188</v>
      </c>
      <c r="QHQ16" t="s">
        <v>188</v>
      </c>
      <c r="QHR16" t="s">
        <v>188</v>
      </c>
      <c r="QHS16" t="s">
        <v>188</v>
      </c>
      <c r="QHT16" t="s">
        <v>188</v>
      </c>
      <c r="QHU16" t="s">
        <v>188</v>
      </c>
      <c r="QHV16" t="s">
        <v>188</v>
      </c>
      <c r="QHW16" t="s">
        <v>188</v>
      </c>
      <c r="QHX16" t="s">
        <v>188</v>
      </c>
      <c r="QHY16" t="s">
        <v>188</v>
      </c>
      <c r="QHZ16" t="s">
        <v>188</v>
      </c>
      <c r="QIA16" t="s">
        <v>188</v>
      </c>
      <c r="QIB16" t="s">
        <v>188</v>
      </c>
      <c r="QIC16" t="s">
        <v>188</v>
      </c>
      <c r="QID16" t="s">
        <v>188</v>
      </c>
      <c r="QIE16" t="s">
        <v>188</v>
      </c>
      <c r="QIF16" t="s">
        <v>188</v>
      </c>
      <c r="QIG16" t="s">
        <v>188</v>
      </c>
      <c r="QIH16" t="s">
        <v>188</v>
      </c>
      <c r="QII16" t="s">
        <v>188</v>
      </c>
      <c r="QIJ16" t="s">
        <v>188</v>
      </c>
      <c r="QIK16" t="s">
        <v>188</v>
      </c>
      <c r="QIL16" t="s">
        <v>188</v>
      </c>
      <c r="QIM16" t="s">
        <v>188</v>
      </c>
      <c r="QIN16" t="s">
        <v>188</v>
      </c>
      <c r="QIO16" t="s">
        <v>188</v>
      </c>
      <c r="QIP16" t="s">
        <v>188</v>
      </c>
      <c r="QIQ16" t="s">
        <v>188</v>
      </c>
      <c r="QIR16" t="s">
        <v>188</v>
      </c>
      <c r="QIS16" t="s">
        <v>188</v>
      </c>
      <c r="QIT16" t="s">
        <v>188</v>
      </c>
      <c r="QIU16" t="s">
        <v>188</v>
      </c>
      <c r="QIV16" t="s">
        <v>188</v>
      </c>
      <c r="QIW16" t="s">
        <v>188</v>
      </c>
      <c r="QIX16" t="s">
        <v>188</v>
      </c>
      <c r="QIY16" t="s">
        <v>188</v>
      </c>
      <c r="QIZ16" t="s">
        <v>188</v>
      </c>
      <c r="QJA16" t="s">
        <v>188</v>
      </c>
      <c r="QJB16" t="s">
        <v>188</v>
      </c>
      <c r="QJC16" t="s">
        <v>188</v>
      </c>
      <c r="QJD16" t="s">
        <v>188</v>
      </c>
      <c r="QJE16" t="s">
        <v>188</v>
      </c>
      <c r="QJF16" t="s">
        <v>188</v>
      </c>
      <c r="QJG16" t="s">
        <v>188</v>
      </c>
      <c r="QJH16" t="s">
        <v>188</v>
      </c>
      <c r="QJI16" t="s">
        <v>188</v>
      </c>
      <c r="QJJ16" t="s">
        <v>188</v>
      </c>
      <c r="QJK16" t="s">
        <v>188</v>
      </c>
      <c r="QJL16" t="s">
        <v>188</v>
      </c>
      <c r="QJM16" t="s">
        <v>188</v>
      </c>
      <c r="QJN16" t="s">
        <v>188</v>
      </c>
      <c r="QJO16" t="s">
        <v>188</v>
      </c>
      <c r="QJP16" t="s">
        <v>188</v>
      </c>
      <c r="QJQ16" t="s">
        <v>188</v>
      </c>
      <c r="QJR16" t="s">
        <v>188</v>
      </c>
      <c r="QJS16" t="s">
        <v>188</v>
      </c>
      <c r="QJT16" t="s">
        <v>188</v>
      </c>
      <c r="QJU16" t="s">
        <v>188</v>
      </c>
      <c r="QJV16" t="s">
        <v>188</v>
      </c>
      <c r="QJW16" t="s">
        <v>188</v>
      </c>
      <c r="QJX16" t="s">
        <v>188</v>
      </c>
      <c r="QJY16" t="s">
        <v>188</v>
      </c>
      <c r="QJZ16" t="s">
        <v>188</v>
      </c>
      <c r="QKA16" t="s">
        <v>188</v>
      </c>
      <c r="QKB16" t="s">
        <v>188</v>
      </c>
      <c r="QKC16" t="s">
        <v>188</v>
      </c>
      <c r="QKD16" t="s">
        <v>188</v>
      </c>
      <c r="QKE16" t="s">
        <v>188</v>
      </c>
      <c r="QKF16" t="s">
        <v>188</v>
      </c>
      <c r="QKG16" t="s">
        <v>188</v>
      </c>
      <c r="QKH16" t="s">
        <v>188</v>
      </c>
      <c r="QKI16" t="s">
        <v>188</v>
      </c>
      <c r="QKJ16" t="s">
        <v>188</v>
      </c>
      <c r="QKK16" t="s">
        <v>188</v>
      </c>
      <c r="QKL16" t="s">
        <v>188</v>
      </c>
      <c r="QKM16" t="s">
        <v>188</v>
      </c>
      <c r="QKN16" t="s">
        <v>188</v>
      </c>
      <c r="QKO16" t="s">
        <v>188</v>
      </c>
      <c r="QKP16" t="s">
        <v>188</v>
      </c>
      <c r="QKQ16" t="s">
        <v>188</v>
      </c>
      <c r="QKR16" t="s">
        <v>188</v>
      </c>
      <c r="QKS16" t="s">
        <v>188</v>
      </c>
      <c r="QKT16" t="s">
        <v>188</v>
      </c>
      <c r="QKU16" t="s">
        <v>188</v>
      </c>
      <c r="QKV16" t="s">
        <v>188</v>
      </c>
      <c r="QKW16" t="s">
        <v>188</v>
      </c>
      <c r="QKX16" t="s">
        <v>188</v>
      </c>
      <c r="QKY16" t="s">
        <v>188</v>
      </c>
      <c r="QKZ16" t="s">
        <v>188</v>
      </c>
      <c r="QLA16" t="s">
        <v>188</v>
      </c>
      <c r="QLB16" t="s">
        <v>188</v>
      </c>
      <c r="QLC16" t="s">
        <v>188</v>
      </c>
      <c r="QLD16" t="s">
        <v>188</v>
      </c>
      <c r="QLE16" t="s">
        <v>188</v>
      </c>
      <c r="QLF16" t="s">
        <v>188</v>
      </c>
      <c r="QLG16" t="s">
        <v>188</v>
      </c>
      <c r="QLH16" t="s">
        <v>188</v>
      </c>
      <c r="QLI16" t="s">
        <v>188</v>
      </c>
      <c r="QLJ16" t="s">
        <v>188</v>
      </c>
      <c r="QLK16" t="s">
        <v>188</v>
      </c>
      <c r="QLL16" t="s">
        <v>188</v>
      </c>
      <c r="QLM16" t="s">
        <v>188</v>
      </c>
      <c r="QLN16" t="s">
        <v>188</v>
      </c>
      <c r="QLO16" t="s">
        <v>188</v>
      </c>
      <c r="QLP16" t="s">
        <v>188</v>
      </c>
      <c r="QLQ16" t="s">
        <v>188</v>
      </c>
      <c r="QLR16" t="s">
        <v>188</v>
      </c>
      <c r="QLS16" t="s">
        <v>188</v>
      </c>
      <c r="QLT16" t="s">
        <v>188</v>
      </c>
      <c r="QLU16" t="s">
        <v>188</v>
      </c>
      <c r="QLV16" t="s">
        <v>188</v>
      </c>
      <c r="QLW16" t="s">
        <v>188</v>
      </c>
      <c r="QLX16" t="s">
        <v>188</v>
      </c>
      <c r="QLY16" t="s">
        <v>188</v>
      </c>
      <c r="QLZ16" t="s">
        <v>188</v>
      </c>
      <c r="QMA16" t="s">
        <v>188</v>
      </c>
      <c r="QMB16" t="s">
        <v>188</v>
      </c>
      <c r="QMC16" t="s">
        <v>188</v>
      </c>
      <c r="QMD16" t="s">
        <v>188</v>
      </c>
      <c r="QME16" t="s">
        <v>188</v>
      </c>
      <c r="QMF16" t="s">
        <v>188</v>
      </c>
      <c r="QMG16" t="s">
        <v>188</v>
      </c>
      <c r="QMH16" t="s">
        <v>188</v>
      </c>
      <c r="QMI16" t="s">
        <v>188</v>
      </c>
      <c r="QMJ16" t="s">
        <v>188</v>
      </c>
      <c r="QMK16" t="s">
        <v>188</v>
      </c>
      <c r="QML16" t="s">
        <v>188</v>
      </c>
      <c r="QMM16" t="s">
        <v>188</v>
      </c>
      <c r="QMN16" t="s">
        <v>188</v>
      </c>
      <c r="QMO16" t="s">
        <v>188</v>
      </c>
      <c r="QMP16" t="s">
        <v>188</v>
      </c>
      <c r="QMQ16" t="s">
        <v>188</v>
      </c>
      <c r="QMR16" t="s">
        <v>188</v>
      </c>
      <c r="QMS16" t="s">
        <v>188</v>
      </c>
      <c r="QMT16" t="s">
        <v>188</v>
      </c>
      <c r="QMU16" t="s">
        <v>188</v>
      </c>
      <c r="QMV16" t="s">
        <v>188</v>
      </c>
      <c r="QMW16" t="s">
        <v>188</v>
      </c>
      <c r="QMX16" t="s">
        <v>188</v>
      </c>
      <c r="QMY16" t="s">
        <v>188</v>
      </c>
      <c r="QMZ16" t="s">
        <v>188</v>
      </c>
      <c r="QNA16" t="s">
        <v>188</v>
      </c>
      <c r="QNB16" t="s">
        <v>188</v>
      </c>
      <c r="QNC16" t="s">
        <v>188</v>
      </c>
      <c r="QND16" t="s">
        <v>188</v>
      </c>
      <c r="QNE16" t="s">
        <v>188</v>
      </c>
      <c r="QNF16" t="s">
        <v>188</v>
      </c>
      <c r="QNG16" t="s">
        <v>188</v>
      </c>
      <c r="QNH16" t="s">
        <v>188</v>
      </c>
      <c r="QNI16" t="s">
        <v>188</v>
      </c>
      <c r="QNJ16" t="s">
        <v>188</v>
      </c>
      <c r="QNK16" t="s">
        <v>188</v>
      </c>
      <c r="QNL16" t="s">
        <v>188</v>
      </c>
      <c r="QNM16" t="s">
        <v>188</v>
      </c>
      <c r="QNN16" t="s">
        <v>188</v>
      </c>
      <c r="QNO16" t="s">
        <v>188</v>
      </c>
      <c r="QNP16" t="s">
        <v>188</v>
      </c>
      <c r="QNQ16" t="s">
        <v>188</v>
      </c>
      <c r="QNR16" t="s">
        <v>188</v>
      </c>
      <c r="QNS16" t="s">
        <v>188</v>
      </c>
      <c r="QNT16" t="s">
        <v>188</v>
      </c>
      <c r="QNU16" t="s">
        <v>188</v>
      </c>
      <c r="QNV16" t="s">
        <v>188</v>
      </c>
      <c r="QNW16" t="s">
        <v>188</v>
      </c>
      <c r="QNX16" t="s">
        <v>188</v>
      </c>
      <c r="QNY16" t="s">
        <v>188</v>
      </c>
      <c r="QNZ16" t="s">
        <v>188</v>
      </c>
      <c r="QOA16" t="s">
        <v>188</v>
      </c>
      <c r="QOB16" t="s">
        <v>188</v>
      </c>
      <c r="QOC16" t="s">
        <v>188</v>
      </c>
      <c r="QOD16" t="s">
        <v>188</v>
      </c>
      <c r="QOE16" t="s">
        <v>188</v>
      </c>
      <c r="QOF16" t="s">
        <v>188</v>
      </c>
      <c r="QOG16" t="s">
        <v>188</v>
      </c>
      <c r="QOH16" t="s">
        <v>188</v>
      </c>
      <c r="QOI16" t="s">
        <v>188</v>
      </c>
      <c r="QOJ16" t="s">
        <v>188</v>
      </c>
      <c r="QOK16" t="s">
        <v>188</v>
      </c>
      <c r="QOL16" t="s">
        <v>188</v>
      </c>
      <c r="QOM16" t="s">
        <v>188</v>
      </c>
      <c r="QON16" t="s">
        <v>188</v>
      </c>
      <c r="QOO16" t="s">
        <v>188</v>
      </c>
      <c r="QOP16" t="s">
        <v>188</v>
      </c>
      <c r="QOQ16" t="s">
        <v>188</v>
      </c>
      <c r="QOR16" t="s">
        <v>188</v>
      </c>
      <c r="QOS16" t="s">
        <v>188</v>
      </c>
      <c r="QOT16" t="s">
        <v>188</v>
      </c>
      <c r="QOU16" t="s">
        <v>188</v>
      </c>
      <c r="QOV16" t="s">
        <v>188</v>
      </c>
      <c r="QOW16" t="s">
        <v>188</v>
      </c>
      <c r="QOX16" t="s">
        <v>188</v>
      </c>
      <c r="QOY16" t="s">
        <v>188</v>
      </c>
      <c r="QOZ16" t="s">
        <v>188</v>
      </c>
      <c r="QPA16" t="s">
        <v>188</v>
      </c>
      <c r="QPB16" t="s">
        <v>188</v>
      </c>
      <c r="QPC16" t="s">
        <v>188</v>
      </c>
      <c r="QPD16" t="s">
        <v>188</v>
      </c>
      <c r="QPE16" t="s">
        <v>188</v>
      </c>
      <c r="QPF16" t="s">
        <v>188</v>
      </c>
      <c r="QPG16" t="s">
        <v>188</v>
      </c>
      <c r="QPH16" t="s">
        <v>188</v>
      </c>
      <c r="QPI16" t="s">
        <v>188</v>
      </c>
      <c r="QPJ16" t="s">
        <v>188</v>
      </c>
      <c r="QPK16" t="s">
        <v>188</v>
      </c>
      <c r="QPL16" t="s">
        <v>188</v>
      </c>
      <c r="QPM16" t="s">
        <v>188</v>
      </c>
      <c r="QPN16" t="s">
        <v>188</v>
      </c>
      <c r="QPO16" t="s">
        <v>188</v>
      </c>
      <c r="QPP16" t="s">
        <v>188</v>
      </c>
      <c r="QPQ16" t="s">
        <v>188</v>
      </c>
      <c r="QPR16" t="s">
        <v>188</v>
      </c>
      <c r="QPS16" t="s">
        <v>188</v>
      </c>
      <c r="QPT16" t="s">
        <v>188</v>
      </c>
      <c r="QPU16" t="s">
        <v>188</v>
      </c>
      <c r="QPV16" t="s">
        <v>188</v>
      </c>
      <c r="QPW16" t="s">
        <v>188</v>
      </c>
      <c r="QPX16" t="s">
        <v>188</v>
      </c>
      <c r="QPY16" t="s">
        <v>188</v>
      </c>
      <c r="QPZ16" t="s">
        <v>188</v>
      </c>
      <c r="QQA16" t="s">
        <v>188</v>
      </c>
      <c r="QQB16" t="s">
        <v>188</v>
      </c>
      <c r="QQC16" t="s">
        <v>188</v>
      </c>
      <c r="QQD16" t="s">
        <v>188</v>
      </c>
      <c r="QQE16" t="s">
        <v>188</v>
      </c>
      <c r="QQF16" t="s">
        <v>188</v>
      </c>
      <c r="QQG16" t="s">
        <v>188</v>
      </c>
      <c r="QQH16" t="s">
        <v>188</v>
      </c>
      <c r="QQI16" t="s">
        <v>188</v>
      </c>
      <c r="QQJ16" t="s">
        <v>188</v>
      </c>
      <c r="QQK16" t="s">
        <v>188</v>
      </c>
      <c r="QQL16" t="s">
        <v>188</v>
      </c>
      <c r="QQM16" t="s">
        <v>188</v>
      </c>
      <c r="QQN16" t="s">
        <v>188</v>
      </c>
      <c r="QQO16" t="s">
        <v>188</v>
      </c>
      <c r="QQP16" t="s">
        <v>188</v>
      </c>
      <c r="QQQ16" t="s">
        <v>188</v>
      </c>
      <c r="QQR16" t="s">
        <v>188</v>
      </c>
      <c r="QQS16" t="s">
        <v>188</v>
      </c>
      <c r="QQT16" t="s">
        <v>188</v>
      </c>
      <c r="QQU16" t="s">
        <v>188</v>
      </c>
      <c r="QQV16" t="s">
        <v>188</v>
      </c>
      <c r="QQW16" t="s">
        <v>188</v>
      </c>
      <c r="QQX16" t="s">
        <v>188</v>
      </c>
      <c r="QQY16" t="s">
        <v>188</v>
      </c>
      <c r="QQZ16" t="s">
        <v>188</v>
      </c>
      <c r="QRA16" t="s">
        <v>188</v>
      </c>
      <c r="QRB16" t="s">
        <v>188</v>
      </c>
      <c r="QRC16" t="s">
        <v>188</v>
      </c>
      <c r="QRD16" t="s">
        <v>188</v>
      </c>
      <c r="QRE16" t="s">
        <v>188</v>
      </c>
      <c r="QRF16" t="s">
        <v>188</v>
      </c>
      <c r="QRG16" t="s">
        <v>188</v>
      </c>
      <c r="QRH16" t="s">
        <v>188</v>
      </c>
      <c r="QRI16" t="s">
        <v>188</v>
      </c>
      <c r="QRJ16" t="s">
        <v>188</v>
      </c>
      <c r="QRK16" t="s">
        <v>188</v>
      </c>
      <c r="QRL16" t="s">
        <v>188</v>
      </c>
      <c r="QRM16" t="s">
        <v>188</v>
      </c>
      <c r="QRN16" t="s">
        <v>188</v>
      </c>
      <c r="QRO16" t="s">
        <v>188</v>
      </c>
      <c r="QRP16" t="s">
        <v>188</v>
      </c>
      <c r="QRQ16" t="s">
        <v>188</v>
      </c>
      <c r="QRR16" t="s">
        <v>188</v>
      </c>
      <c r="QRS16" t="s">
        <v>188</v>
      </c>
      <c r="QRT16" t="s">
        <v>188</v>
      </c>
      <c r="QRU16" t="s">
        <v>188</v>
      </c>
      <c r="QRV16" t="s">
        <v>188</v>
      </c>
      <c r="QRW16" t="s">
        <v>188</v>
      </c>
      <c r="QRX16" t="s">
        <v>188</v>
      </c>
      <c r="QRY16" t="s">
        <v>188</v>
      </c>
      <c r="QRZ16" t="s">
        <v>188</v>
      </c>
      <c r="QSA16" t="s">
        <v>188</v>
      </c>
      <c r="QSB16" t="s">
        <v>188</v>
      </c>
      <c r="QSC16" t="s">
        <v>188</v>
      </c>
      <c r="QSD16" t="s">
        <v>188</v>
      </c>
      <c r="QSE16" t="s">
        <v>188</v>
      </c>
      <c r="QSF16" t="s">
        <v>188</v>
      </c>
      <c r="QSG16" t="s">
        <v>188</v>
      </c>
      <c r="QSH16" t="s">
        <v>188</v>
      </c>
      <c r="QSI16" t="s">
        <v>188</v>
      </c>
      <c r="QSJ16" t="s">
        <v>188</v>
      </c>
      <c r="QSK16" t="s">
        <v>188</v>
      </c>
      <c r="QSL16" t="s">
        <v>188</v>
      </c>
      <c r="QSM16" t="s">
        <v>188</v>
      </c>
      <c r="QSN16" t="s">
        <v>188</v>
      </c>
      <c r="QSO16" t="s">
        <v>188</v>
      </c>
      <c r="QSP16" t="s">
        <v>188</v>
      </c>
      <c r="QSQ16" t="s">
        <v>188</v>
      </c>
      <c r="QSR16" t="s">
        <v>188</v>
      </c>
      <c r="QSS16" t="s">
        <v>188</v>
      </c>
      <c r="QST16" t="s">
        <v>188</v>
      </c>
      <c r="QSU16" t="s">
        <v>188</v>
      </c>
      <c r="QSV16" t="s">
        <v>188</v>
      </c>
      <c r="QSW16" t="s">
        <v>188</v>
      </c>
      <c r="QSX16" t="s">
        <v>188</v>
      </c>
      <c r="QSY16" t="s">
        <v>188</v>
      </c>
      <c r="QSZ16" t="s">
        <v>188</v>
      </c>
      <c r="QTA16" t="s">
        <v>188</v>
      </c>
      <c r="QTB16" t="s">
        <v>188</v>
      </c>
      <c r="QTC16" t="s">
        <v>188</v>
      </c>
      <c r="QTD16" t="s">
        <v>188</v>
      </c>
      <c r="QTE16" t="s">
        <v>188</v>
      </c>
      <c r="QTF16" t="s">
        <v>188</v>
      </c>
      <c r="QTG16" t="s">
        <v>188</v>
      </c>
      <c r="QTH16" t="s">
        <v>188</v>
      </c>
      <c r="QTI16" t="s">
        <v>188</v>
      </c>
      <c r="QTJ16" t="s">
        <v>188</v>
      </c>
      <c r="QTK16" t="s">
        <v>188</v>
      </c>
      <c r="QTL16" t="s">
        <v>188</v>
      </c>
      <c r="QTM16" t="s">
        <v>188</v>
      </c>
      <c r="QTN16" t="s">
        <v>188</v>
      </c>
      <c r="QTO16" t="s">
        <v>188</v>
      </c>
      <c r="QTP16" t="s">
        <v>188</v>
      </c>
      <c r="QTQ16" t="s">
        <v>188</v>
      </c>
      <c r="QTR16" t="s">
        <v>188</v>
      </c>
      <c r="QTS16" t="s">
        <v>188</v>
      </c>
      <c r="QTT16" t="s">
        <v>188</v>
      </c>
      <c r="QTU16" t="s">
        <v>188</v>
      </c>
      <c r="QTV16" t="s">
        <v>188</v>
      </c>
      <c r="QTW16" t="s">
        <v>188</v>
      </c>
      <c r="QTX16" t="s">
        <v>188</v>
      </c>
      <c r="QTY16" t="s">
        <v>188</v>
      </c>
      <c r="QTZ16" t="s">
        <v>188</v>
      </c>
      <c r="QUA16" t="s">
        <v>188</v>
      </c>
      <c r="QUB16" t="s">
        <v>188</v>
      </c>
      <c r="QUC16" t="s">
        <v>188</v>
      </c>
      <c r="QUD16" t="s">
        <v>188</v>
      </c>
      <c r="QUE16" t="s">
        <v>188</v>
      </c>
      <c r="QUF16" t="s">
        <v>188</v>
      </c>
      <c r="QUG16" t="s">
        <v>188</v>
      </c>
      <c r="QUH16" t="s">
        <v>188</v>
      </c>
      <c r="QUI16" t="s">
        <v>188</v>
      </c>
      <c r="QUJ16" t="s">
        <v>188</v>
      </c>
      <c r="QUK16" t="s">
        <v>188</v>
      </c>
      <c r="QUL16" t="s">
        <v>188</v>
      </c>
      <c r="QUM16" t="s">
        <v>188</v>
      </c>
      <c r="QUN16" t="s">
        <v>188</v>
      </c>
      <c r="QUO16" t="s">
        <v>188</v>
      </c>
      <c r="QUP16" t="s">
        <v>188</v>
      </c>
      <c r="QUQ16" t="s">
        <v>188</v>
      </c>
      <c r="QUR16" t="s">
        <v>188</v>
      </c>
      <c r="QUS16" t="s">
        <v>188</v>
      </c>
      <c r="QUT16" t="s">
        <v>188</v>
      </c>
      <c r="QUU16" t="s">
        <v>188</v>
      </c>
      <c r="QUV16" t="s">
        <v>188</v>
      </c>
      <c r="QUW16" t="s">
        <v>188</v>
      </c>
      <c r="QUX16" t="s">
        <v>188</v>
      </c>
      <c r="QUY16" t="s">
        <v>188</v>
      </c>
      <c r="QUZ16" t="s">
        <v>188</v>
      </c>
      <c r="QVA16" t="s">
        <v>188</v>
      </c>
      <c r="QVB16" t="s">
        <v>188</v>
      </c>
      <c r="QVC16" t="s">
        <v>188</v>
      </c>
      <c r="QVD16" t="s">
        <v>188</v>
      </c>
      <c r="QVE16" t="s">
        <v>188</v>
      </c>
      <c r="QVF16" t="s">
        <v>188</v>
      </c>
      <c r="QVG16" t="s">
        <v>188</v>
      </c>
      <c r="QVH16" t="s">
        <v>188</v>
      </c>
      <c r="QVI16" t="s">
        <v>188</v>
      </c>
      <c r="QVJ16" t="s">
        <v>188</v>
      </c>
      <c r="QVK16" t="s">
        <v>188</v>
      </c>
      <c r="QVL16" t="s">
        <v>188</v>
      </c>
      <c r="QVM16" t="s">
        <v>188</v>
      </c>
      <c r="QVN16" t="s">
        <v>188</v>
      </c>
      <c r="QVO16" t="s">
        <v>188</v>
      </c>
      <c r="QVP16" t="s">
        <v>188</v>
      </c>
      <c r="QVQ16" t="s">
        <v>188</v>
      </c>
      <c r="QVR16" t="s">
        <v>188</v>
      </c>
      <c r="QVS16" t="s">
        <v>188</v>
      </c>
      <c r="QVT16" t="s">
        <v>188</v>
      </c>
      <c r="QVU16" t="s">
        <v>188</v>
      </c>
      <c r="QVV16" t="s">
        <v>188</v>
      </c>
      <c r="QVW16" t="s">
        <v>188</v>
      </c>
      <c r="QVX16" t="s">
        <v>188</v>
      </c>
      <c r="QVY16" t="s">
        <v>188</v>
      </c>
      <c r="QVZ16" t="s">
        <v>188</v>
      </c>
      <c r="QWA16" t="s">
        <v>188</v>
      </c>
      <c r="QWB16" t="s">
        <v>188</v>
      </c>
      <c r="QWC16" t="s">
        <v>188</v>
      </c>
      <c r="QWD16" t="s">
        <v>188</v>
      </c>
      <c r="QWE16" t="s">
        <v>188</v>
      </c>
      <c r="QWF16" t="s">
        <v>188</v>
      </c>
      <c r="QWG16" t="s">
        <v>188</v>
      </c>
      <c r="QWH16" t="s">
        <v>188</v>
      </c>
      <c r="QWI16" t="s">
        <v>188</v>
      </c>
      <c r="QWJ16" t="s">
        <v>188</v>
      </c>
      <c r="QWK16" t="s">
        <v>188</v>
      </c>
      <c r="QWL16" t="s">
        <v>188</v>
      </c>
      <c r="QWM16" t="s">
        <v>188</v>
      </c>
      <c r="QWN16" t="s">
        <v>188</v>
      </c>
      <c r="QWO16" t="s">
        <v>188</v>
      </c>
      <c r="QWP16" t="s">
        <v>188</v>
      </c>
      <c r="QWQ16" t="s">
        <v>188</v>
      </c>
      <c r="QWR16" t="s">
        <v>188</v>
      </c>
      <c r="QWS16" t="s">
        <v>188</v>
      </c>
      <c r="QWT16" t="s">
        <v>188</v>
      </c>
      <c r="QWU16" t="s">
        <v>188</v>
      </c>
      <c r="QWV16" t="s">
        <v>188</v>
      </c>
      <c r="QWW16" t="s">
        <v>188</v>
      </c>
      <c r="QWX16" t="s">
        <v>188</v>
      </c>
      <c r="QWY16" t="s">
        <v>188</v>
      </c>
      <c r="QWZ16" t="s">
        <v>188</v>
      </c>
      <c r="QXA16" t="s">
        <v>188</v>
      </c>
      <c r="QXB16" t="s">
        <v>188</v>
      </c>
      <c r="QXC16" t="s">
        <v>188</v>
      </c>
      <c r="QXD16" t="s">
        <v>188</v>
      </c>
      <c r="QXE16" t="s">
        <v>188</v>
      </c>
      <c r="QXF16" t="s">
        <v>188</v>
      </c>
      <c r="QXG16" t="s">
        <v>188</v>
      </c>
      <c r="QXH16" t="s">
        <v>188</v>
      </c>
      <c r="QXI16" t="s">
        <v>188</v>
      </c>
      <c r="QXJ16" t="s">
        <v>188</v>
      </c>
      <c r="QXK16" t="s">
        <v>188</v>
      </c>
      <c r="QXL16" t="s">
        <v>188</v>
      </c>
      <c r="QXM16" t="s">
        <v>188</v>
      </c>
      <c r="QXN16" t="s">
        <v>188</v>
      </c>
      <c r="QXO16" t="s">
        <v>188</v>
      </c>
      <c r="QXP16" t="s">
        <v>188</v>
      </c>
      <c r="QXQ16" t="s">
        <v>188</v>
      </c>
      <c r="QXR16" t="s">
        <v>188</v>
      </c>
      <c r="QXS16" t="s">
        <v>188</v>
      </c>
      <c r="QXT16" t="s">
        <v>188</v>
      </c>
      <c r="QXU16" t="s">
        <v>188</v>
      </c>
      <c r="QXV16" t="s">
        <v>188</v>
      </c>
      <c r="QXW16" t="s">
        <v>188</v>
      </c>
      <c r="QXX16" t="s">
        <v>188</v>
      </c>
      <c r="QXY16" t="s">
        <v>188</v>
      </c>
      <c r="QXZ16" t="s">
        <v>188</v>
      </c>
      <c r="QYA16" t="s">
        <v>188</v>
      </c>
      <c r="QYB16" t="s">
        <v>188</v>
      </c>
      <c r="QYC16" t="s">
        <v>188</v>
      </c>
      <c r="QYD16" t="s">
        <v>188</v>
      </c>
      <c r="QYE16" t="s">
        <v>188</v>
      </c>
      <c r="QYF16" t="s">
        <v>188</v>
      </c>
      <c r="QYG16" t="s">
        <v>188</v>
      </c>
      <c r="QYH16" t="s">
        <v>188</v>
      </c>
      <c r="QYI16" t="s">
        <v>188</v>
      </c>
      <c r="QYJ16" t="s">
        <v>188</v>
      </c>
      <c r="QYK16" t="s">
        <v>188</v>
      </c>
      <c r="QYL16" t="s">
        <v>188</v>
      </c>
      <c r="QYM16" t="s">
        <v>188</v>
      </c>
      <c r="QYN16" t="s">
        <v>188</v>
      </c>
      <c r="QYO16" t="s">
        <v>188</v>
      </c>
      <c r="QYP16" t="s">
        <v>188</v>
      </c>
      <c r="QYQ16" t="s">
        <v>188</v>
      </c>
      <c r="QYR16" t="s">
        <v>188</v>
      </c>
      <c r="QYS16" t="s">
        <v>188</v>
      </c>
      <c r="QYT16" t="s">
        <v>188</v>
      </c>
      <c r="QYU16" t="s">
        <v>188</v>
      </c>
      <c r="QYV16" t="s">
        <v>188</v>
      </c>
      <c r="QYW16" t="s">
        <v>188</v>
      </c>
      <c r="QYX16" t="s">
        <v>188</v>
      </c>
      <c r="QYY16" t="s">
        <v>188</v>
      </c>
      <c r="QYZ16" t="s">
        <v>188</v>
      </c>
      <c r="QZA16" t="s">
        <v>188</v>
      </c>
      <c r="QZB16" t="s">
        <v>188</v>
      </c>
      <c r="QZC16" t="s">
        <v>188</v>
      </c>
      <c r="QZD16" t="s">
        <v>188</v>
      </c>
      <c r="QZE16" t="s">
        <v>188</v>
      </c>
      <c r="QZF16" t="s">
        <v>188</v>
      </c>
      <c r="QZG16" t="s">
        <v>188</v>
      </c>
      <c r="QZH16" t="s">
        <v>188</v>
      </c>
      <c r="QZI16" t="s">
        <v>188</v>
      </c>
      <c r="QZJ16" t="s">
        <v>188</v>
      </c>
      <c r="QZK16" t="s">
        <v>188</v>
      </c>
      <c r="QZL16" t="s">
        <v>188</v>
      </c>
      <c r="QZM16" t="s">
        <v>188</v>
      </c>
      <c r="QZN16" t="s">
        <v>188</v>
      </c>
      <c r="QZO16" t="s">
        <v>188</v>
      </c>
      <c r="QZP16" t="s">
        <v>188</v>
      </c>
      <c r="QZQ16" t="s">
        <v>188</v>
      </c>
      <c r="QZR16" t="s">
        <v>188</v>
      </c>
      <c r="QZS16" t="s">
        <v>188</v>
      </c>
      <c r="QZT16" t="s">
        <v>188</v>
      </c>
      <c r="QZU16" t="s">
        <v>188</v>
      </c>
      <c r="QZV16" t="s">
        <v>188</v>
      </c>
      <c r="QZW16" t="s">
        <v>188</v>
      </c>
      <c r="QZX16" t="s">
        <v>188</v>
      </c>
      <c r="QZY16" t="s">
        <v>188</v>
      </c>
      <c r="QZZ16" t="s">
        <v>188</v>
      </c>
      <c r="RAA16" t="s">
        <v>188</v>
      </c>
      <c r="RAB16" t="s">
        <v>188</v>
      </c>
      <c r="RAC16" t="s">
        <v>188</v>
      </c>
      <c r="RAD16" t="s">
        <v>188</v>
      </c>
      <c r="RAE16" t="s">
        <v>188</v>
      </c>
      <c r="RAF16" t="s">
        <v>188</v>
      </c>
      <c r="RAG16" t="s">
        <v>188</v>
      </c>
      <c r="RAH16" t="s">
        <v>188</v>
      </c>
      <c r="RAI16" t="s">
        <v>188</v>
      </c>
      <c r="RAJ16" t="s">
        <v>188</v>
      </c>
      <c r="RAK16" t="s">
        <v>188</v>
      </c>
      <c r="RAL16" t="s">
        <v>188</v>
      </c>
      <c r="RAM16" t="s">
        <v>188</v>
      </c>
      <c r="RAN16" t="s">
        <v>188</v>
      </c>
      <c r="RAO16" t="s">
        <v>188</v>
      </c>
      <c r="RAP16" t="s">
        <v>188</v>
      </c>
      <c r="RAQ16" t="s">
        <v>188</v>
      </c>
      <c r="RAR16" t="s">
        <v>188</v>
      </c>
      <c r="RAS16" t="s">
        <v>188</v>
      </c>
      <c r="RAT16" t="s">
        <v>188</v>
      </c>
      <c r="RAU16" t="s">
        <v>188</v>
      </c>
      <c r="RAV16" t="s">
        <v>188</v>
      </c>
      <c r="RAW16" t="s">
        <v>188</v>
      </c>
      <c r="RAX16" t="s">
        <v>188</v>
      </c>
      <c r="RAY16" t="s">
        <v>188</v>
      </c>
      <c r="RAZ16" t="s">
        <v>188</v>
      </c>
      <c r="RBA16" t="s">
        <v>188</v>
      </c>
      <c r="RBB16" t="s">
        <v>188</v>
      </c>
      <c r="RBC16" t="s">
        <v>188</v>
      </c>
      <c r="RBD16" t="s">
        <v>188</v>
      </c>
      <c r="RBE16" t="s">
        <v>188</v>
      </c>
      <c r="RBF16" t="s">
        <v>188</v>
      </c>
      <c r="RBG16" t="s">
        <v>188</v>
      </c>
      <c r="RBH16" t="s">
        <v>188</v>
      </c>
      <c r="RBI16" t="s">
        <v>188</v>
      </c>
      <c r="RBJ16" t="s">
        <v>188</v>
      </c>
      <c r="RBK16" t="s">
        <v>188</v>
      </c>
      <c r="RBL16" t="s">
        <v>188</v>
      </c>
      <c r="RBM16" t="s">
        <v>188</v>
      </c>
      <c r="RBN16" t="s">
        <v>188</v>
      </c>
      <c r="RBO16" t="s">
        <v>188</v>
      </c>
      <c r="RBP16" t="s">
        <v>188</v>
      </c>
      <c r="RBQ16" t="s">
        <v>188</v>
      </c>
      <c r="RBR16" t="s">
        <v>188</v>
      </c>
      <c r="RBS16" t="s">
        <v>188</v>
      </c>
      <c r="RBT16" t="s">
        <v>188</v>
      </c>
      <c r="RBU16" t="s">
        <v>188</v>
      </c>
      <c r="RBV16" t="s">
        <v>188</v>
      </c>
      <c r="RBW16" t="s">
        <v>188</v>
      </c>
      <c r="RBX16" t="s">
        <v>188</v>
      </c>
      <c r="RBY16" t="s">
        <v>188</v>
      </c>
      <c r="RBZ16" t="s">
        <v>188</v>
      </c>
      <c r="RCA16" t="s">
        <v>188</v>
      </c>
      <c r="RCB16" t="s">
        <v>188</v>
      </c>
      <c r="RCC16" t="s">
        <v>188</v>
      </c>
      <c r="RCD16" t="s">
        <v>188</v>
      </c>
      <c r="RCE16" t="s">
        <v>188</v>
      </c>
      <c r="RCF16" t="s">
        <v>188</v>
      </c>
      <c r="RCG16" t="s">
        <v>188</v>
      </c>
      <c r="RCH16" t="s">
        <v>188</v>
      </c>
      <c r="RCI16" t="s">
        <v>188</v>
      </c>
      <c r="RCJ16" t="s">
        <v>188</v>
      </c>
      <c r="RCK16" t="s">
        <v>188</v>
      </c>
      <c r="RCL16" t="s">
        <v>188</v>
      </c>
      <c r="RCM16" t="s">
        <v>188</v>
      </c>
      <c r="RCN16" t="s">
        <v>188</v>
      </c>
      <c r="RCO16" t="s">
        <v>188</v>
      </c>
      <c r="RCP16" t="s">
        <v>188</v>
      </c>
      <c r="RCQ16" t="s">
        <v>188</v>
      </c>
      <c r="RCR16" t="s">
        <v>188</v>
      </c>
      <c r="RCS16" t="s">
        <v>188</v>
      </c>
      <c r="RCT16" t="s">
        <v>188</v>
      </c>
      <c r="RCU16" t="s">
        <v>188</v>
      </c>
      <c r="RCV16" t="s">
        <v>188</v>
      </c>
      <c r="RCW16" t="s">
        <v>188</v>
      </c>
      <c r="RCX16" t="s">
        <v>188</v>
      </c>
      <c r="RCY16" t="s">
        <v>188</v>
      </c>
      <c r="RCZ16" t="s">
        <v>188</v>
      </c>
      <c r="RDA16" t="s">
        <v>188</v>
      </c>
      <c r="RDB16" t="s">
        <v>188</v>
      </c>
      <c r="RDC16" t="s">
        <v>188</v>
      </c>
      <c r="RDD16" t="s">
        <v>188</v>
      </c>
      <c r="RDE16" t="s">
        <v>188</v>
      </c>
      <c r="RDF16" t="s">
        <v>188</v>
      </c>
      <c r="RDG16" t="s">
        <v>188</v>
      </c>
      <c r="RDH16" t="s">
        <v>188</v>
      </c>
      <c r="RDI16" t="s">
        <v>188</v>
      </c>
      <c r="RDJ16" t="s">
        <v>188</v>
      </c>
      <c r="RDK16" t="s">
        <v>188</v>
      </c>
      <c r="RDL16" t="s">
        <v>188</v>
      </c>
      <c r="RDM16" t="s">
        <v>188</v>
      </c>
      <c r="RDN16" t="s">
        <v>188</v>
      </c>
      <c r="RDO16" t="s">
        <v>188</v>
      </c>
      <c r="RDP16" t="s">
        <v>188</v>
      </c>
      <c r="RDQ16" t="s">
        <v>188</v>
      </c>
      <c r="RDR16" t="s">
        <v>188</v>
      </c>
      <c r="RDS16" t="s">
        <v>188</v>
      </c>
      <c r="RDT16" t="s">
        <v>188</v>
      </c>
      <c r="RDU16" t="s">
        <v>188</v>
      </c>
      <c r="RDV16" t="s">
        <v>188</v>
      </c>
      <c r="RDW16" t="s">
        <v>188</v>
      </c>
      <c r="RDX16" t="s">
        <v>188</v>
      </c>
      <c r="RDY16" t="s">
        <v>188</v>
      </c>
      <c r="RDZ16" t="s">
        <v>188</v>
      </c>
      <c r="REA16" t="s">
        <v>188</v>
      </c>
      <c r="REB16" t="s">
        <v>188</v>
      </c>
      <c r="REC16" t="s">
        <v>188</v>
      </c>
      <c r="RED16" t="s">
        <v>188</v>
      </c>
      <c r="REE16" t="s">
        <v>188</v>
      </c>
      <c r="REF16" t="s">
        <v>188</v>
      </c>
      <c r="REG16" t="s">
        <v>188</v>
      </c>
      <c r="REH16" t="s">
        <v>188</v>
      </c>
      <c r="REI16" t="s">
        <v>188</v>
      </c>
      <c r="REJ16" t="s">
        <v>188</v>
      </c>
      <c r="REK16" t="s">
        <v>188</v>
      </c>
      <c r="REL16" t="s">
        <v>188</v>
      </c>
      <c r="REM16" t="s">
        <v>188</v>
      </c>
      <c r="REN16" t="s">
        <v>188</v>
      </c>
      <c r="REO16" t="s">
        <v>188</v>
      </c>
      <c r="REP16" t="s">
        <v>188</v>
      </c>
      <c r="REQ16" t="s">
        <v>188</v>
      </c>
      <c r="RER16" t="s">
        <v>188</v>
      </c>
      <c r="RES16" t="s">
        <v>188</v>
      </c>
      <c r="RET16" t="s">
        <v>188</v>
      </c>
      <c r="REU16" t="s">
        <v>188</v>
      </c>
      <c r="REV16" t="s">
        <v>188</v>
      </c>
      <c r="REW16" t="s">
        <v>188</v>
      </c>
      <c r="REX16" t="s">
        <v>188</v>
      </c>
      <c r="REY16" t="s">
        <v>188</v>
      </c>
      <c r="REZ16" t="s">
        <v>188</v>
      </c>
      <c r="RFA16" t="s">
        <v>188</v>
      </c>
      <c r="RFB16" t="s">
        <v>188</v>
      </c>
      <c r="RFC16" t="s">
        <v>188</v>
      </c>
      <c r="RFD16" t="s">
        <v>188</v>
      </c>
      <c r="RFE16" t="s">
        <v>188</v>
      </c>
      <c r="RFF16" t="s">
        <v>188</v>
      </c>
      <c r="RFG16" t="s">
        <v>188</v>
      </c>
      <c r="RFH16" t="s">
        <v>188</v>
      </c>
      <c r="RFI16" t="s">
        <v>188</v>
      </c>
      <c r="RFJ16" t="s">
        <v>188</v>
      </c>
      <c r="RFK16" t="s">
        <v>188</v>
      </c>
      <c r="RFL16" t="s">
        <v>188</v>
      </c>
      <c r="RFM16" t="s">
        <v>188</v>
      </c>
      <c r="RFN16" t="s">
        <v>188</v>
      </c>
      <c r="RFO16" t="s">
        <v>188</v>
      </c>
      <c r="RFP16" t="s">
        <v>188</v>
      </c>
      <c r="RFQ16" t="s">
        <v>188</v>
      </c>
      <c r="RFR16" t="s">
        <v>188</v>
      </c>
      <c r="RFS16" t="s">
        <v>188</v>
      </c>
      <c r="RFT16" t="s">
        <v>188</v>
      </c>
      <c r="RFU16" t="s">
        <v>188</v>
      </c>
      <c r="RFV16" t="s">
        <v>188</v>
      </c>
      <c r="RFW16" t="s">
        <v>188</v>
      </c>
      <c r="RFX16" t="s">
        <v>188</v>
      </c>
      <c r="RFY16" t="s">
        <v>188</v>
      </c>
      <c r="RFZ16" t="s">
        <v>188</v>
      </c>
      <c r="RGA16" t="s">
        <v>188</v>
      </c>
      <c r="RGB16" t="s">
        <v>188</v>
      </c>
      <c r="RGC16" t="s">
        <v>188</v>
      </c>
      <c r="RGD16" t="s">
        <v>188</v>
      </c>
      <c r="RGE16" t="s">
        <v>188</v>
      </c>
      <c r="RGF16" t="s">
        <v>188</v>
      </c>
      <c r="RGG16" t="s">
        <v>188</v>
      </c>
      <c r="RGH16" t="s">
        <v>188</v>
      </c>
      <c r="RGI16" t="s">
        <v>188</v>
      </c>
      <c r="RGJ16" t="s">
        <v>188</v>
      </c>
      <c r="RGK16" t="s">
        <v>188</v>
      </c>
      <c r="RGL16" t="s">
        <v>188</v>
      </c>
      <c r="RGM16" t="s">
        <v>188</v>
      </c>
      <c r="RGN16" t="s">
        <v>188</v>
      </c>
      <c r="RGO16" t="s">
        <v>188</v>
      </c>
      <c r="RGP16" t="s">
        <v>188</v>
      </c>
      <c r="RGQ16" t="s">
        <v>188</v>
      </c>
      <c r="RGR16" t="s">
        <v>188</v>
      </c>
      <c r="RGS16" t="s">
        <v>188</v>
      </c>
      <c r="RGT16" t="s">
        <v>188</v>
      </c>
      <c r="RGU16" t="s">
        <v>188</v>
      </c>
      <c r="RGV16" t="s">
        <v>188</v>
      </c>
      <c r="RGW16" t="s">
        <v>188</v>
      </c>
      <c r="RGX16" t="s">
        <v>188</v>
      </c>
      <c r="RGY16" t="s">
        <v>188</v>
      </c>
      <c r="RGZ16" t="s">
        <v>188</v>
      </c>
      <c r="RHA16" t="s">
        <v>188</v>
      </c>
      <c r="RHB16" t="s">
        <v>188</v>
      </c>
      <c r="RHC16" t="s">
        <v>188</v>
      </c>
      <c r="RHD16" t="s">
        <v>188</v>
      </c>
      <c r="RHE16" t="s">
        <v>188</v>
      </c>
      <c r="RHF16" t="s">
        <v>188</v>
      </c>
      <c r="RHG16" t="s">
        <v>188</v>
      </c>
      <c r="RHH16" t="s">
        <v>188</v>
      </c>
      <c r="RHI16" t="s">
        <v>188</v>
      </c>
      <c r="RHJ16" t="s">
        <v>188</v>
      </c>
      <c r="RHK16" t="s">
        <v>188</v>
      </c>
      <c r="RHL16" t="s">
        <v>188</v>
      </c>
      <c r="RHM16" t="s">
        <v>188</v>
      </c>
      <c r="RHN16" t="s">
        <v>188</v>
      </c>
      <c r="RHO16" t="s">
        <v>188</v>
      </c>
      <c r="RHP16" t="s">
        <v>188</v>
      </c>
      <c r="RHQ16" t="s">
        <v>188</v>
      </c>
      <c r="RHR16" t="s">
        <v>188</v>
      </c>
      <c r="RHS16" t="s">
        <v>188</v>
      </c>
      <c r="RHT16" t="s">
        <v>188</v>
      </c>
      <c r="RHU16" t="s">
        <v>188</v>
      </c>
      <c r="RHV16" t="s">
        <v>188</v>
      </c>
      <c r="RHW16" t="s">
        <v>188</v>
      </c>
      <c r="RHX16" t="s">
        <v>188</v>
      </c>
      <c r="RHY16" t="s">
        <v>188</v>
      </c>
      <c r="RHZ16" t="s">
        <v>188</v>
      </c>
      <c r="RIA16" t="s">
        <v>188</v>
      </c>
      <c r="RIB16" t="s">
        <v>188</v>
      </c>
      <c r="RIC16" t="s">
        <v>188</v>
      </c>
      <c r="RID16" t="s">
        <v>188</v>
      </c>
      <c r="RIE16" t="s">
        <v>188</v>
      </c>
      <c r="RIF16" t="s">
        <v>188</v>
      </c>
      <c r="RIG16" t="s">
        <v>188</v>
      </c>
      <c r="RIH16" t="s">
        <v>188</v>
      </c>
      <c r="RII16" t="s">
        <v>188</v>
      </c>
      <c r="RIJ16" t="s">
        <v>188</v>
      </c>
      <c r="RIK16" t="s">
        <v>188</v>
      </c>
      <c r="RIL16" t="s">
        <v>188</v>
      </c>
      <c r="RIM16" t="s">
        <v>188</v>
      </c>
      <c r="RIN16" t="s">
        <v>188</v>
      </c>
      <c r="RIO16" t="s">
        <v>188</v>
      </c>
      <c r="RIP16" t="s">
        <v>188</v>
      </c>
      <c r="RIQ16" t="s">
        <v>188</v>
      </c>
      <c r="RIR16" t="s">
        <v>188</v>
      </c>
      <c r="RIS16" t="s">
        <v>188</v>
      </c>
      <c r="RIT16" t="s">
        <v>188</v>
      </c>
      <c r="RIU16" t="s">
        <v>188</v>
      </c>
      <c r="RIV16" t="s">
        <v>188</v>
      </c>
      <c r="RIW16" t="s">
        <v>188</v>
      </c>
      <c r="RIX16" t="s">
        <v>188</v>
      </c>
      <c r="RIY16" t="s">
        <v>188</v>
      </c>
      <c r="RIZ16" t="s">
        <v>188</v>
      </c>
      <c r="RJA16" t="s">
        <v>188</v>
      </c>
      <c r="RJB16" t="s">
        <v>188</v>
      </c>
      <c r="RJC16" t="s">
        <v>188</v>
      </c>
      <c r="RJD16" t="s">
        <v>188</v>
      </c>
      <c r="RJE16" t="s">
        <v>188</v>
      </c>
      <c r="RJF16" t="s">
        <v>188</v>
      </c>
      <c r="RJG16" t="s">
        <v>188</v>
      </c>
      <c r="RJH16" t="s">
        <v>188</v>
      </c>
      <c r="RJI16" t="s">
        <v>188</v>
      </c>
      <c r="RJJ16" t="s">
        <v>188</v>
      </c>
      <c r="RJK16" t="s">
        <v>188</v>
      </c>
      <c r="RJL16" t="s">
        <v>188</v>
      </c>
      <c r="RJM16" t="s">
        <v>188</v>
      </c>
      <c r="RJN16" t="s">
        <v>188</v>
      </c>
      <c r="RJO16" t="s">
        <v>188</v>
      </c>
      <c r="RJP16" t="s">
        <v>188</v>
      </c>
      <c r="RJQ16" t="s">
        <v>188</v>
      </c>
      <c r="RJR16" t="s">
        <v>188</v>
      </c>
      <c r="RJS16" t="s">
        <v>188</v>
      </c>
      <c r="RJT16" t="s">
        <v>188</v>
      </c>
      <c r="RJU16" t="s">
        <v>188</v>
      </c>
      <c r="RJV16" t="s">
        <v>188</v>
      </c>
      <c r="RJW16" t="s">
        <v>188</v>
      </c>
      <c r="RJX16" t="s">
        <v>188</v>
      </c>
      <c r="RJY16" t="s">
        <v>188</v>
      </c>
      <c r="RJZ16" t="s">
        <v>188</v>
      </c>
      <c r="RKA16" t="s">
        <v>188</v>
      </c>
      <c r="RKB16" t="s">
        <v>188</v>
      </c>
      <c r="RKC16" t="s">
        <v>188</v>
      </c>
      <c r="RKD16" t="s">
        <v>188</v>
      </c>
      <c r="RKE16" t="s">
        <v>188</v>
      </c>
      <c r="RKF16" t="s">
        <v>188</v>
      </c>
      <c r="RKG16" t="s">
        <v>188</v>
      </c>
      <c r="RKH16" t="s">
        <v>188</v>
      </c>
      <c r="RKI16" t="s">
        <v>188</v>
      </c>
      <c r="RKJ16" t="s">
        <v>188</v>
      </c>
      <c r="RKK16" t="s">
        <v>188</v>
      </c>
      <c r="RKL16" t="s">
        <v>188</v>
      </c>
      <c r="RKM16" t="s">
        <v>188</v>
      </c>
      <c r="RKN16" t="s">
        <v>188</v>
      </c>
      <c r="RKO16" t="s">
        <v>188</v>
      </c>
      <c r="RKP16" t="s">
        <v>188</v>
      </c>
      <c r="RKQ16" t="s">
        <v>188</v>
      </c>
      <c r="RKR16" t="s">
        <v>188</v>
      </c>
      <c r="RKS16" t="s">
        <v>188</v>
      </c>
      <c r="RKT16" t="s">
        <v>188</v>
      </c>
      <c r="RKU16" t="s">
        <v>188</v>
      </c>
      <c r="RKV16" t="s">
        <v>188</v>
      </c>
      <c r="RKW16" t="s">
        <v>188</v>
      </c>
      <c r="RKX16" t="s">
        <v>188</v>
      </c>
      <c r="RKY16" t="s">
        <v>188</v>
      </c>
      <c r="RKZ16" t="s">
        <v>188</v>
      </c>
      <c r="RLA16" t="s">
        <v>188</v>
      </c>
      <c r="RLB16" t="s">
        <v>188</v>
      </c>
      <c r="RLC16" t="s">
        <v>188</v>
      </c>
      <c r="RLD16" t="s">
        <v>188</v>
      </c>
      <c r="RLE16" t="s">
        <v>188</v>
      </c>
      <c r="RLF16" t="s">
        <v>188</v>
      </c>
      <c r="RLG16" t="s">
        <v>188</v>
      </c>
      <c r="RLH16" t="s">
        <v>188</v>
      </c>
      <c r="RLI16" t="s">
        <v>188</v>
      </c>
      <c r="RLJ16" t="s">
        <v>188</v>
      </c>
      <c r="RLK16" t="s">
        <v>188</v>
      </c>
      <c r="RLL16" t="s">
        <v>188</v>
      </c>
      <c r="RLM16" t="s">
        <v>188</v>
      </c>
      <c r="RLN16" t="s">
        <v>188</v>
      </c>
      <c r="RLO16" t="s">
        <v>188</v>
      </c>
      <c r="RLP16" t="s">
        <v>188</v>
      </c>
      <c r="RLQ16" t="s">
        <v>188</v>
      </c>
      <c r="RLR16" t="s">
        <v>188</v>
      </c>
      <c r="RLS16" t="s">
        <v>188</v>
      </c>
      <c r="RLT16" t="s">
        <v>188</v>
      </c>
      <c r="RLU16" t="s">
        <v>188</v>
      </c>
      <c r="RLV16" t="s">
        <v>188</v>
      </c>
      <c r="RLW16" t="s">
        <v>188</v>
      </c>
      <c r="RLX16" t="s">
        <v>188</v>
      </c>
      <c r="RLY16" t="s">
        <v>188</v>
      </c>
      <c r="RLZ16" t="s">
        <v>188</v>
      </c>
      <c r="RMA16" t="s">
        <v>188</v>
      </c>
      <c r="RMB16" t="s">
        <v>188</v>
      </c>
      <c r="RMC16" t="s">
        <v>188</v>
      </c>
      <c r="RMD16" t="s">
        <v>188</v>
      </c>
      <c r="RME16" t="s">
        <v>188</v>
      </c>
      <c r="RMF16" t="s">
        <v>188</v>
      </c>
      <c r="RMG16" t="s">
        <v>188</v>
      </c>
      <c r="RMH16" t="s">
        <v>188</v>
      </c>
      <c r="RMI16" t="s">
        <v>188</v>
      </c>
      <c r="RMJ16" t="s">
        <v>188</v>
      </c>
      <c r="RMK16" t="s">
        <v>188</v>
      </c>
      <c r="RML16" t="s">
        <v>188</v>
      </c>
      <c r="RMM16" t="s">
        <v>188</v>
      </c>
      <c r="RMN16" t="s">
        <v>188</v>
      </c>
      <c r="RMO16" t="s">
        <v>188</v>
      </c>
      <c r="RMP16" t="s">
        <v>188</v>
      </c>
      <c r="RMQ16" t="s">
        <v>188</v>
      </c>
      <c r="RMR16" t="s">
        <v>188</v>
      </c>
      <c r="RMS16" t="s">
        <v>188</v>
      </c>
      <c r="RMT16" t="s">
        <v>188</v>
      </c>
      <c r="RMU16" t="s">
        <v>188</v>
      </c>
      <c r="RMV16" t="s">
        <v>188</v>
      </c>
      <c r="RMW16" t="s">
        <v>188</v>
      </c>
      <c r="RMX16" t="s">
        <v>188</v>
      </c>
      <c r="RMY16" t="s">
        <v>188</v>
      </c>
      <c r="RMZ16" t="s">
        <v>188</v>
      </c>
      <c r="RNA16" t="s">
        <v>188</v>
      </c>
      <c r="RNB16" t="s">
        <v>188</v>
      </c>
      <c r="RNC16" t="s">
        <v>188</v>
      </c>
      <c r="RND16" t="s">
        <v>188</v>
      </c>
      <c r="RNE16" t="s">
        <v>188</v>
      </c>
      <c r="RNF16" t="s">
        <v>188</v>
      </c>
      <c r="RNG16" t="s">
        <v>188</v>
      </c>
      <c r="RNH16" t="s">
        <v>188</v>
      </c>
      <c r="RNI16" t="s">
        <v>188</v>
      </c>
      <c r="RNJ16" t="s">
        <v>188</v>
      </c>
      <c r="RNK16" t="s">
        <v>188</v>
      </c>
      <c r="RNL16" t="s">
        <v>188</v>
      </c>
      <c r="RNM16" t="s">
        <v>188</v>
      </c>
      <c r="RNN16" t="s">
        <v>188</v>
      </c>
      <c r="RNO16" t="s">
        <v>188</v>
      </c>
      <c r="RNP16" t="s">
        <v>188</v>
      </c>
      <c r="RNQ16" t="s">
        <v>188</v>
      </c>
      <c r="RNR16" t="s">
        <v>188</v>
      </c>
      <c r="RNS16" t="s">
        <v>188</v>
      </c>
      <c r="RNT16" t="s">
        <v>188</v>
      </c>
      <c r="RNU16" t="s">
        <v>188</v>
      </c>
      <c r="RNV16" t="s">
        <v>188</v>
      </c>
      <c r="RNW16" t="s">
        <v>188</v>
      </c>
      <c r="RNX16" t="s">
        <v>188</v>
      </c>
      <c r="RNY16" t="s">
        <v>188</v>
      </c>
      <c r="RNZ16" t="s">
        <v>188</v>
      </c>
      <c r="ROA16" t="s">
        <v>188</v>
      </c>
      <c r="ROB16" t="s">
        <v>188</v>
      </c>
      <c r="ROC16" t="s">
        <v>188</v>
      </c>
      <c r="ROD16" t="s">
        <v>188</v>
      </c>
      <c r="ROE16" t="s">
        <v>188</v>
      </c>
      <c r="ROF16" t="s">
        <v>188</v>
      </c>
      <c r="ROG16" t="s">
        <v>188</v>
      </c>
      <c r="ROH16" t="s">
        <v>188</v>
      </c>
      <c r="ROI16" t="s">
        <v>188</v>
      </c>
      <c r="ROJ16" t="s">
        <v>188</v>
      </c>
      <c r="ROK16" t="s">
        <v>188</v>
      </c>
      <c r="ROL16" t="s">
        <v>188</v>
      </c>
      <c r="ROM16" t="s">
        <v>188</v>
      </c>
      <c r="RON16" t="s">
        <v>188</v>
      </c>
      <c r="ROO16" t="s">
        <v>188</v>
      </c>
      <c r="ROP16" t="s">
        <v>188</v>
      </c>
      <c r="ROQ16" t="s">
        <v>188</v>
      </c>
      <c r="ROR16" t="s">
        <v>188</v>
      </c>
      <c r="ROS16" t="s">
        <v>188</v>
      </c>
      <c r="ROT16" t="s">
        <v>188</v>
      </c>
      <c r="ROU16" t="s">
        <v>188</v>
      </c>
      <c r="ROV16" t="s">
        <v>188</v>
      </c>
      <c r="ROW16" t="s">
        <v>188</v>
      </c>
      <c r="ROX16" t="s">
        <v>188</v>
      </c>
      <c r="ROY16" t="s">
        <v>188</v>
      </c>
      <c r="ROZ16" t="s">
        <v>188</v>
      </c>
      <c r="RPA16" t="s">
        <v>188</v>
      </c>
      <c r="RPB16" t="s">
        <v>188</v>
      </c>
      <c r="RPC16" t="s">
        <v>188</v>
      </c>
      <c r="RPD16" t="s">
        <v>188</v>
      </c>
      <c r="RPE16" t="s">
        <v>188</v>
      </c>
      <c r="RPF16" t="s">
        <v>188</v>
      </c>
      <c r="RPG16" t="s">
        <v>188</v>
      </c>
      <c r="RPH16" t="s">
        <v>188</v>
      </c>
      <c r="RPI16" t="s">
        <v>188</v>
      </c>
      <c r="RPJ16" t="s">
        <v>188</v>
      </c>
      <c r="RPK16" t="s">
        <v>188</v>
      </c>
      <c r="RPL16" t="s">
        <v>188</v>
      </c>
      <c r="RPM16" t="s">
        <v>188</v>
      </c>
      <c r="RPN16" t="s">
        <v>188</v>
      </c>
      <c r="RPO16" t="s">
        <v>188</v>
      </c>
      <c r="RPP16" t="s">
        <v>188</v>
      </c>
      <c r="RPQ16" t="s">
        <v>188</v>
      </c>
      <c r="RPR16" t="s">
        <v>188</v>
      </c>
      <c r="RPS16" t="s">
        <v>188</v>
      </c>
      <c r="RPT16" t="s">
        <v>188</v>
      </c>
      <c r="RPU16" t="s">
        <v>188</v>
      </c>
      <c r="RPV16" t="s">
        <v>188</v>
      </c>
      <c r="RPW16" t="s">
        <v>188</v>
      </c>
      <c r="RPX16" t="s">
        <v>188</v>
      </c>
      <c r="RPY16" t="s">
        <v>188</v>
      </c>
      <c r="RPZ16" t="s">
        <v>188</v>
      </c>
      <c r="RQA16" t="s">
        <v>188</v>
      </c>
      <c r="RQB16" t="s">
        <v>188</v>
      </c>
      <c r="RQC16" t="s">
        <v>188</v>
      </c>
      <c r="RQD16" t="s">
        <v>188</v>
      </c>
      <c r="RQE16" t="s">
        <v>188</v>
      </c>
      <c r="RQF16" t="s">
        <v>188</v>
      </c>
      <c r="RQG16" t="s">
        <v>188</v>
      </c>
      <c r="RQH16" t="s">
        <v>188</v>
      </c>
      <c r="RQI16" t="s">
        <v>188</v>
      </c>
      <c r="RQJ16" t="s">
        <v>188</v>
      </c>
      <c r="RQK16" t="s">
        <v>188</v>
      </c>
      <c r="RQL16" t="s">
        <v>188</v>
      </c>
      <c r="RQM16" t="s">
        <v>188</v>
      </c>
      <c r="RQN16" t="s">
        <v>188</v>
      </c>
      <c r="RQO16" t="s">
        <v>188</v>
      </c>
      <c r="RQP16" t="s">
        <v>188</v>
      </c>
      <c r="RQQ16" t="s">
        <v>188</v>
      </c>
      <c r="RQR16" t="s">
        <v>188</v>
      </c>
      <c r="RQS16" t="s">
        <v>188</v>
      </c>
      <c r="RQT16" t="s">
        <v>188</v>
      </c>
      <c r="RQU16" t="s">
        <v>188</v>
      </c>
      <c r="RQV16" t="s">
        <v>188</v>
      </c>
      <c r="RQW16" t="s">
        <v>188</v>
      </c>
      <c r="RQX16" t="s">
        <v>188</v>
      </c>
      <c r="RQY16" t="s">
        <v>188</v>
      </c>
      <c r="RQZ16" t="s">
        <v>188</v>
      </c>
      <c r="RRA16" t="s">
        <v>188</v>
      </c>
      <c r="RRB16" t="s">
        <v>188</v>
      </c>
      <c r="RRC16" t="s">
        <v>188</v>
      </c>
      <c r="RRD16" t="s">
        <v>188</v>
      </c>
      <c r="RRE16" t="s">
        <v>188</v>
      </c>
      <c r="RRF16" t="s">
        <v>188</v>
      </c>
      <c r="RRG16" t="s">
        <v>188</v>
      </c>
      <c r="RRH16" t="s">
        <v>188</v>
      </c>
      <c r="RRI16" t="s">
        <v>188</v>
      </c>
      <c r="RRJ16" t="s">
        <v>188</v>
      </c>
      <c r="RRK16" t="s">
        <v>188</v>
      </c>
      <c r="RRL16" t="s">
        <v>188</v>
      </c>
      <c r="RRM16" t="s">
        <v>188</v>
      </c>
      <c r="RRN16" t="s">
        <v>188</v>
      </c>
      <c r="RRO16" t="s">
        <v>188</v>
      </c>
      <c r="RRP16" t="s">
        <v>188</v>
      </c>
      <c r="RRQ16" t="s">
        <v>188</v>
      </c>
      <c r="RRR16" t="s">
        <v>188</v>
      </c>
      <c r="RRS16" t="s">
        <v>188</v>
      </c>
      <c r="RRT16" t="s">
        <v>188</v>
      </c>
      <c r="RRU16" t="s">
        <v>188</v>
      </c>
      <c r="RRV16" t="s">
        <v>188</v>
      </c>
      <c r="RRW16" t="s">
        <v>188</v>
      </c>
      <c r="RRX16" t="s">
        <v>188</v>
      </c>
      <c r="RRY16" t="s">
        <v>188</v>
      </c>
      <c r="RRZ16" t="s">
        <v>188</v>
      </c>
      <c r="RSA16" t="s">
        <v>188</v>
      </c>
      <c r="RSB16" t="s">
        <v>188</v>
      </c>
      <c r="RSC16" t="s">
        <v>188</v>
      </c>
      <c r="RSD16" t="s">
        <v>188</v>
      </c>
      <c r="RSE16" t="s">
        <v>188</v>
      </c>
      <c r="RSF16" t="s">
        <v>188</v>
      </c>
      <c r="RSG16" t="s">
        <v>188</v>
      </c>
      <c r="RSH16" t="s">
        <v>188</v>
      </c>
      <c r="RSI16" t="s">
        <v>188</v>
      </c>
      <c r="RSJ16" t="s">
        <v>188</v>
      </c>
      <c r="RSK16" t="s">
        <v>188</v>
      </c>
      <c r="RSL16" t="s">
        <v>188</v>
      </c>
      <c r="RSM16" t="s">
        <v>188</v>
      </c>
      <c r="RSN16" t="s">
        <v>188</v>
      </c>
      <c r="RSO16" t="s">
        <v>188</v>
      </c>
      <c r="RSP16" t="s">
        <v>188</v>
      </c>
      <c r="RSQ16" t="s">
        <v>188</v>
      </c>
      <c r="RSR16" t="s">
        <v>188</v>
      </c>
      <c r="RSS16" t="s">
        <v>188</v>
      </c>
      <c r="RST16" t="s">
        <v>188</v>
      </c>
      <c r="RSU16" t="s">
        <v>188</v>
      </c>
      <c r="RSV16" t="s">
        <v>188</v>
      </c>
      <c r="RSW16" t="s">
        <v>188</v>
      </c>
      <c r="RSX16" t="s">
        <v>188</v>
      </c>
      <c r="RSY16" t="s">
        <v>188</v>
      </c>
      <c r="RSZ16" t="s">
        <v>188</v>
      </c>
      <c r="RTA16" t="s">
        <v>188</v>
      </c>
      <c r="RTB16" t="s">
        <v>188</v>
      </c>
      <c r="RTC16" t="s">
        <v>188</v>
      </c>
      <c r="RTD16" t="s">
        <v>188</v>
      </c>
      <c r="RTE16" t="s">
        <v>188</v>
      </c>
      <c r="RTF16" t="s">
        <v>188</v>
      </c>
      <c r="RTG16" t="s">
        <v>188</v>
      </c>
      <c r="RTH16" t="s">
        <v>188</v>
      </c>
      <c r="RTI16" t="s">
        <v>188</v>
      </c>
      <c r="RTJ16" t="s">
        <v>188</v>
      </c>
      <c r="RTK16" t="s">
        <v>188</v>
      </c>
      <c r="RTL16" t="s">
        <v>188</v>
      </c>
      <c r="RTM16" t="s">
        <v>188</v>
      </c>
      <c r="RTN16" t="s">
        <v>188</v>
      </c>
      <c r="RTO16" t="s">
        <v>188</v>
      </c>
      <c r="RTP16" t="s">
        <v>188</v>
      </c>
      <c r="RTQ16" t="s">
        <v>188</v>
      </c>
      <c r="RTR16" t="s">
        <v>188</v>
      </c>
      <c r="RTS16" t="s">
        <v>188</v>
      </c>
      <c r="RTT16" t="s">
        <v>188</v>
      </c>
      <c r="RTU16" t="s">
        <v>188</v>
      </c>
      <c r="RTV16" t="s">
        <v>188</v>
      </c>
      <c r="RTW16" t="s">
        <v>188</v>
      </c>
      <c r="RTX16" t="s">
        <v>188</v>
      </c>
      <c r="RTY16" t="s">
        <v>188</v>
      </c>
      <c r="RTZ16" t="s">
        <v>188</v>
      </c>
      <c r="RUA16" t="s">
        <v>188</v>
      </c>
      <c r="RUB16" t="s">
        <v>188</v>
      </c>
      <c r="RUC16" t="s">
        <v>188</v>
      </c>
      <c r="RUD16" t="s">
        <v>188</v>
      </c>
      <c r="RUE16" t="s">
        <v>188</v>
      </c>
      <c r="RUF16" t="s">
        <v>188</v>
      </c>
      <c r="RUG16" t="s">
        <v>188</v>
      </c>
      <c r="RUH16" t="s">
        <v>188</v>
      </c>
      <c r="RUI16" t="s">
        <v>188</v>
      </c>
      <c r="RUJ16" t="s">
        <v>188</v>
      </c>
      <c r="RUK16" t="s">
        <v>188</v>
      </c>
      <c r="RUL16" t="s">
        <v>188</v>
      </c>
      <c r="RUM16" t="s">
        <v>188</v>
      </c>
      <c r="RUN16" t="s">
        <v>188</v>
      </c>
      <c r="RUO16" t="s">
        <v>188</v>
      </c>
      <c r="RUP16" t="s">
        <v>188</v>
      </c>
      <c r="RUQ16" t="s">
        <v>188</v>
      </c>
      <c r="RUR16" t="s">
        <v>188</v>
      </c>
      <c r="RUS16" t="s">
        <v>188</v>
      </c>
      <c r="RUT16" t="s">
        <v>188</v>
      </c>
      <c r="RUU16" t="s">
        <v>188</v>
      </c>
      <c r="RUV16" t="s">
        <v>188</v>
      </c>
      <c r="RUW16" t="s">
        <v>188</v>
      </c>
      <c r="RUX16" t="s">
        <v>188</v>
      </c>
      <c r="RUY16" t="s">
        <v>188</v>
      </c>
      <c r="RUZ16" t="s">
        <v>188</v>
      </c>
      <c r="RVA16" t="s">
        <v>188</v>
      </c>
      <c r="RVB16" t="s">
        <v>188</v>
      </c>
      <c r="RVC16" t="s">
        <v>188</v>
      </c>
      <c r="RVD16" t="s">
        <v>188</v>
      </c>
      <c r="RVE16" t="s">
        <v>188</v>
      </c>
      <c r="RVF16" t="s">
        <v>188</v>
      </c>
      <c r="RVG16" t="s">
        <v>188</v>
      </c>
      <c r="RVH16" t="s">
        <v>188</v>
      </c>
      <c r="RVI16" t="s">
        <v>188</v>
      </c>
      <c r="RVJ16" t="s">
        <v>188</v>
      </c>
      <c r="RVK16" t="s">
        <v>188</v>
      </c>
      <c r="RVL16" t="s">
        <v>188</v>
      </c>
      <c r="RVM16" t="s">
        <v>188</v>
      </c>
      <c r="RVN16" t="s">
        <v>188</v>
      </c>
      <c r="RVO16" t="s">
        <v>188</v>
      </c>
      <c r="RVP16" t="s">
        <v>188</v>
      </c>
      <c r="RVQ16" t="s">
        <v>188</v>
      </c>
      <c r="RVR16" t="s">
        <v>188</v>
      </c>
      <c r="RVS16" t="s">
        <v>188</v>
      </c>
      <c r="RVT16" t="s">
        <v>188</v>
      </c>
      <c r="RVU16" t="s">
        <v>188</v>
      </c>
      <c r="RVV16" t="s">
        <v>188</v>
      </c>
      <c r="RVW16" t="s">
        <v>188</v>
      </c>
      <c r="RVX16" t="s">
        <v>188</v>
      </c>
      <c r="RVY16" t="s">
        <v>188</v>
      </c>
      <c r="RVZ16" t="s">
        <v>188</v>
      </c>
      <c r="RWA16" t="s">
        <v>188</v>
      </c>
      <c r="RWB16" t="s">
        <v>188</v>
      </c>
      <c r="RWC16" t="s">
        <v>188</v>
      </c>
      <c r="RWD16" t="s">
        <v>188</v>
      </c>
      <c r="RWE16" t="s">
        <v>188</v>
      </c>
      <c r="RWF16" t="s">
        <v>188</v>
      </c>
      <c r="RWG16" t="s">
        <v>188</v>
      </c>
      <c r="RWH16" t="s">
        <v>188</v>
      </c>
      <c r="RWI16" t="s">
        <v>188</v>
      </c>
      <c r="RWJ16" t="s">
        <v>188</v>
      </c>
      <c r="RWK16" t="s">
        <v>188</v>
      </c>
      <c r="RWL16" t="s">
        <v>188</v>
      </c>
      <c r="RWM16" t="s">
        <v>188</v>
      </c>
      <c r="RWN16" t="s">
        <v>188</v>
      </c>
      <c r="RWO16" t="s">
        <v>188</v>
      </c>
      <c r="RWP16" t="s">
        <v>188</v>
      </c>
      <c r="RWQ16" t="s">
        <v>188</v>
      </c>
      <c r="RWR16" t="s">
        <v>188</v>
      </c>
      <c r="RWS16" t="s">
        <v>188</v>
      </c>
      <c r="RWT16" t="s">
        <v>188</v>
      </c>
      <c r="RWU16" t="s">
        <v>188</v>
      </c>
      <c r="RWV16" t="s">
        <v>188</v>
      </c>
      <c r="RWW16" t="s">
        <v>188</v>
      </c>
      <c r="RWX16" t="s">
        <v>188</v>
      </c>
      <c r="RWY16" t="s">
        <v>188</v>
      </c>
      <c r="RWZ16" t="s">
        <v>188</v>
      </c>
      <c r="RXA16" t="s">
        <v>188</v>
      </c>
      <c r="RXB16" t="s">
        <v>188</v>
      </c>
      <c r="RXC16" t="s">
        <v>188</v>
      </c>
      <c r="RXD16" t="s">
        <v>188</v>
      </c>
      <c r="RXE16" t="s">
        <v>188</v>
      </c>
      <c r="RXF16" t="s">
        <v>188</v>
      </c>
      <c r="RXG16" t="s">
        <v>188</v>
      </c>
      <c r="RXH16" t="s">
        <v>188</v>
      </c>
      <c r="RXI16" t="s">
        <v>188</v>
      </c>
      <c r="RXJ16" t="s">
        <v>188</v>
      </c>
      <c r="RXK16" t="s">
        <v>188</v>
      </c>
      <c r="RXL16" t="s">
        <v>188</v>
      </c>
      <c r="RXM16" t="s">
        <v>188</v>
      </c>
      <c r="RXN16" t="s">
        <v>188</v>
      </c>
      <c r="RXO16" t="s">
        <v>188</v>
      </c>
      <c r="RXP16" t="s">
        <v>188</v>
      </c>
      <c r="RXQ16" t="s">
        <v>188</v>
      </c>
      <c r="RXR16" t="s">
        <v>188</v>
      </c>
      <c r="RXS16" t="s">
        <v>188</v>
      </c>
      <c r="RXT16" t="s">
        <v>188</v>
      </c>
      <c r="RXU16" t="s">
        <v>188</v>
      </c>
      <c r="RXV16" t="s">
        <v>188</v>
      </c>
      <c r="RXW16" t="s">
        <v>188</v>
      </c>
      <c r="RXX16" t="s">
        <v>188</v>
      </c>
      <c r="RXY16" t="s">
        <v>188</v>
      </c>
      <c r="RXZ16" t="s">
        <v>188</v>
      </c>
      <c r="RYA16" t="s">
        <v>188</v>
      </c>
      <c r="RYB16" t="s">
        <v>188</v>
      </c>
      <c r="RYC16" t="s">
        <v>188</v>
      </c>
      <c r="RYD16" t="s">
        <v>188</v>
      </c>
      <c r="RYE16" t="s">
        <v>188</v>
      </c>
      <c r="RYF16" t="s">
        <v>188</v>
      </c>
      <c r="RYG16" t="s">
        <v>188</v>
      </c>
      <c r="RYH16" t="s">
        <v>188</v>
      </c>
      <c r="RYI16" t="s">
        <v>188</v>
      </c>
      <c r="RYJ16" t="s">
        <v>188</v>
      </c>
      <c r="RYK16" t="s">
        <v>188</v>
      </c>
      <c r="RYL16" t="s">
        <v>188</v>
      </c>
      <c r="RYM16" t="s">
        <v>188</v>
      </c>
      <c r="RYN16" t="s">
        <v>188</v>
      </c>
      <c r="RYO16" t="s">
        <v>188</v>
      </c>
      <c r="RYP16" t="s">
        <v>188</v>
      </c>
      <c r="RYQ16" t="s">
        <v>188</v>
      </c>
      <c r="RYR16" t="s">
        <v>188</v>
      </c>
      <c r="RYS16" t="s">
        <v>188</v>
      </c>
      <c r="RYT16" t="s">
        <v>188</v>
      </c>
      <c r="RYU16" t="s">
        <v>188</v>
      </c>
      <c r="RYV16" t="s">
        <v>188</v>
      </c>
      <c r="RYW16" t="s">
        <v>188</v>
      </c>
      <c r="RYX16" t="s">
        <v>188</v>
      </c>
      <c r="RYY16" t="s">
        <v>188</v>
      </c>
      <c r="RYZ16" t="s">
        <v>188</v>
      </c>
      <c r="RZA16" t="s">
        <v>188</v>
      </c>
      <c r="RZB16" t="s">
        <v>188</v>
      </c>
      <c r="RZC16" t="s">
        <v>188</v>
      </c>
      <c r="RZD16" t="s">
        <v>188</v>
      </c>
      <c r="RZE16" t="s">
        <v>188</v>
      </c>
      <c r="RZF16" t="s">
        <v>188</v>
      </c>
      <c r="RZG16" t="s">
        <v>188</v>
      </c>
      <c r="RZH16" t="s">
        <v>188</v>
      </c>
      <c r="RZI16" t="s">
        <v>188</v>
      </c>
      <c r="RZJ16" t="s">
        <v>188</v>
      </c>
      <c r="RZK16" t="s">
        <v>188</v>
      </c>
      <c r="RZL16" t="s">
        <v>188</v>
      </c>
      <c r="RZM16" t="s">
        <v>188</v>
      </c>
      <c r="RZN16" t="s">
        <v>188</v>
      </c>
      <c r="RZO16" t="s">
        <v>188</v>
      </c>
      <c r="RZP16" t="s">
        <v>188</v>
      </c>
      <c r="RZQ16" t="s">
        <v>188</v>
      </c>
      <c r="RZR16" t="s">
        <v>188</v>
      </c>
      <c r="RZS16" t="s">
        <v>188</v>
      </c>
      <c r="RZT16" t="s">
        <v>188</v>
      </c>
      <c r="RZU16" t="s">
        <v>188</v>
      </c>
      <c r="RZV16" t="s">
        <v>188</v>
      </c>
      <c r="RZW16" t="s">
        <v>188</v>
      </c>
      <c r="RZX16" t="s">
        <v>188</v>
      </c>
      <c r="RZY16" t="s">
        <v>188</v>
      </c>
      <c r="RZZ16" t="s">
        <v>188</v>
      </c>
      <c r="SAA16" t="s">
        <v>188</v>
      </c>
      <c r="SAB16" t="s">
        <v>188</v>
      </c>
      <c r="SAC16" t="s">
        <v>188</v>
      </c>
      <c r="SAD16" t="s">
        <v>188</v>
      </c>
      <c r="SAE16" t="s">
        <v>188</v>
      </c>
      <c r="SAF16" t="s">
        <v>188</v>
      </c>
      <c r="SAG16" t="s">
        <v>188</v>
      </c>
      <c r="SAH16" t="s">
        <v>188</v>
      </c>
      <c r="SAI16" t="s">
        <v>188</v>
      </c>
      <c r="SAJ16" t="s">
        <v>188</v>
      </c>
      <c r="SAK16" t="s">
        <v>188</v>
      </c>
      <c r="SAL16" t="s">
        <v>188</v>
      </c>
      <c r="SAM16" t="s">
        <v>188</v>
      </c>
      <c r="SAN16" t="s">
        <v>188</v>
      </c>
      <c r="SAO16" t="s">
        <v>188</v>
      </c>
      <c r="SAP16" t="s">
        <v>188</v>
      </c>
      <c r="SAQ16" t="s">
        <v>188</v>
      </c>
      <c r="SAR16" t="s">
        <v>188</v>
      </c>
      <c r="SAS16" t="s">
        <v>188</v>
      </c>
      <c r="SAT16" t="s">
        <v>188</v>
      </c>
      <c r="SAU16" t="s">
        <v>188</v>
      </c>
      <c r="SAV16" t="s">
        <v>188</v>
      </c>
      <c r="SAW16" t="s">
        <v>188</v>
      </c>
      <c r="SAX16" t="s">
        <v>188</v>
      </c>
      <c r="SAY16" t="s">
        <v>188</v>
      </c>
      <c r="SAZ16" t="s">
        <v>188</v>
      </c>
      <c r="SBA16" t="s">
        <v>188</v>
      </c>
      <c r="SBB16" t="s">
        <v>188</v>
      </c>
      <c r="SBC16" t="s">
        <v>188</v>
      </c>
      <c r="SBD16" t="s">
        <v>188</v>
      </c>
      <c r="SBE16" t="s">
        <v>188</v>
      </c>
      <c r="SBF16" t="s">
        <v>188</v>
      </c>
      <c r="SBG16" t="s">
        <v>188</v>
      </c>
      <c r="SBH16" t="s">
        <v>188</v>
      </c>
      <c r="SBI16" t="s">
        <v>188</v>
      </c>
      <c r="SBJ16" t="s">
        <v>188</v>
      </c>
      <c r="SBK16" t="s">
        <v>188</v>
      </c>
      <c r="SBL16" t="s">
        <v>188</v>
      </c>
      <c r="SBM16" t="s">
        <v>188</v>
      </c>
      <c r="SBN16" t="s">
        <v>188</v>
      </c>
      <c r="SBO16" t="s">
        <v>188</v>
      </c>
      <c r="SBP16" t="s">
        <v>188</v>
      </c>
      <c r="SBQ16" t="s">
        <v>188</v>
      </c>
      <c r="SBR16" t="s">
        <v>188</v>
      </c>
      <c r="SBS16" t="s">
        <v>188</v>
      </c>
      <c r="SBT16" t="s">
        <v>188</v>
      </c>
      <c r="SBU16" t="s">
        <v>188</v>
      </c>
      <c r="SBV16" t="s">
        <v>188</v>
      </c>
      <c r="SBW16" t="s">
        <v>188</v>
      </c>
      <c r="SBX16" t="s">
        <v>188</v>
      </c>
      <c r="SBY16" t="s">
        <v>188</v>
      </c>
      <c r="SBZ16" t="s">
        <v>188</v>
      </c>
      <c r="SCA16" t="s">
        <v>188</v>
      </c>
      <c r="SCB16" t="s">
        <v>188</v>
      </c>
      <c r="SCC16" t="s">
        <v>188</v>
      </c>
      <c r="SCD16" t="s">
        <v>188</v>
      </c>
      <c r="SCE16" t="s">
        <v>188</v>
      </c>
      <c r="SCF16" t="s">
        <v>188</v>
      </c>
      <c r="SCG16" t="s">
        <v>188</v>
      </c>
      <c r="SCH16" t="s">
        <v>188</v>
      </c>
      <c r="SCI16" t="s">
        <v>188</v>
      </c>
      <c r="SCJ16" t="s">
        <v>188</v>
      </c>
      <c r="SCK16" t="s">
        <v>188</v>
      </c>
      <c r="SCL16" t="s">
        <v>188</v>
      </c>
      <c r="SCM16" t="s">
        <v>188</v>
      </c>
      <c r="SCN16" t="s">
        <v>188</v>
      </c>
      <c r="SCO16" t="s">
        <v>188</v>
      </c>
      <c r="SCP16" t="s">
        <v>188</v>
      </c>
      <c r="SCQ16" t="s">
        <v>188</v>
      </c>
      <c r="SCR16" t="s">
        <v>188</v>
      </c>
      <c r="SCS16" t="s">
        <v>188</v>
      </c>
      <c r="SCT16" t="s">
        <v>188</v>
      </c>
      <c r="SCU16" t="s">
        <v>188</v>
      </c>
      <c r="SCV16" t="s">
        <v>188</v>
      </c>
      <c r="SCW16" t="s">
        <v>188</v>
      </c>
      <c r="SCX16" t="s">
        <v>188</v>
      </c>
      <c r="SCY16" t="s">
        <v>188</v>
      </c>
      <c r="SCZ16" t="s">
        <v>188</v>
      </c>
      <c r="SDA16" t="s">
        <v>188</v>
      </c>
      <c r="SDB16" t="s">
        <v>188</v>
      </c>
      <c r="SDC16" t="s">
        <v>188</v>
      </c>
      <c r="SDD16" t="s">
        <v>188</v>
      </c>
      <c r="SDE16" t="s">
        <v>188</v>
      </c>
      <c r="SDF16" t="s">
        <v>188</v>
      </c>
      <c r="SDG16" t="s">
        <v>188</v>
      </c>
      <c r="SDH16" t="s">
        <v>188</v>
      </c>
      <c r="SDI16" t="s">
        <v>188</v>
      </c>
      <c r="SDJ16" t="s">
        <v>188</v>
      </c>
      <c r="SDK16" t="s">
        <v>188</v>
      </c>
      <c r="SDL16" t="s">
        <v>188</v>
      </c>
      <c r="SDM16" t="s">
        <v>188</v>
      </c>
      <c r="SDN16" t="s">
        <v>188</v>
      </c>
      <c r="SDO16" t="s">
        <v>188</v>
      </c>
      <c r="SDP16" t="s">
        <v>188</v>
      </c>
      <c r="SDQ16" t="s">
        <v>188</v>
      </c>
      <c r="SDR16" t="s">
        <v>188</v>
      </c>
      <c r="SDS16" t="s">
        <v>188</v>
      </c>
      <c r="SDT16" t="s">
        <v>188</v>
      </c>
      <c r="SDU16" t="s">
        <v>188</v>
      </c>
      <c r="SDV16" t="s">
        <v>188</v>
      </c>
      <c r="SDW16" t="s">
        <v>188</v>
      </c>
      <c r="SDX16" t="s">
        <v>188</v>
      </c>
      <c r="SDY16" t="s">
        <v>188</v>
      </c>
      <c r="SDZ16" t="s">
        <v>188</v>
      </c>
      <c r="SEA16" t="s">
        <v>188</v>
      </c>
      <c r="SEB16" t="s">
        <v>188</v>
      </c>
      <c r="SEC16" t="s">
        <v>188</v>
      </c>
      <c r="SED16" t="s">
        <v>188</v>
      </c>
      <c r="SEE16" t="s">
        <v>188</v>
      </c>
      <c r="SEF16" t="s">
        <v>188</v>
      </c>
      <c r="SEG16" t="s">
        <v>188</v>
      </c>
      <c r="SEH16" t="s">
        <v>188</v>
      </c>
      <c r="SEI16" t="s">
        <v>188</v>
      </c>
      <c r="SEJ16" t="s">
        <v>188</v>
      </c>
      <c r="SEK16" t="s">
        <v>188</v>
      </c>
      <c r="SEL16" t="s">
        <v>188</v>
      </c>
      <c r="SEM16" t="s">
        <v>188</v>
      </c>
      <c r="SEN16" t="s">
        <v>188</v>
      </c>
      <c r="SEO16" t="s">
        <v>188</v>
      </c>
      <c r="SEP16" t="s">
        <v>188</v>
      </c>
      <c r="SEQ16" t="s">
        <v>188</v>
      </c>
      <c r="SER16" t="s">
        <v>188</v>
      </c>
      <c r="SES16" t="s">
        <v>188</v>
      </c>
      <c r="SET16" t="s">
        <v>188</v>
      </c>
      <c r="SEU16" t="s">
        <v>188</v>
      </c>
      <c r="SEV16" t="s">
        <v>188</v>
      </c>
      <c r="SEW16" t="s">
        <v>188</v>
      </c>
      <c r="SEX16" t="s">
        <v>188</v>
      </c>
      <c r="SEY16" t="s">
        <v>188</v>
      </c>
      <c r="SEZ16" t="s">
        <v>188</v>
      </c>
      <c r="SFA16" t="s">
        <v>188</v>
      </c>
      <c r="SFB16" t="s">
        <v>188</v>
      </c>
      <c r="SFC16" t="s">
        <v>188</v>
      </c>
      <c r="SFD16" t="s">
        <v>188</v>
      </c>
      <c r="SFE16" t="s">
        <v>188</v>
      </c>
      <c r="SFF16" t="s">
        <v>188</v>
      </c>
      <c r="SFG16" t="s">
        <v>188</v>
      </c>
      <c r="SFH16" t="s">
        <v>188</v>
      </c>
      <c r="SFI16" t="s">
        <v>188</v>
      </c>
      <c r="SFJ16" t="s">
        <v>188</v>
      </c>
      <c r="SFK16" t="s">
        <v>188</v>
      </c>
      <c r="SFL16" t="s">
        <v>188</v>
      </c>
      <c r="SFM16" t="s">
        <v>188</v>
      </c>
      <c r="SFN16" t="s">
        <v>188</v>
      </c>
      <c r="SFO16" t="s">
        <v>188</v>
      </c>
      <c r="SFP16" t="s">
        <v>188</v>
      </c>
      <c r="SFQ16" t="s">
        <v>188</v>
      </c>
      <c r="SFR16" t="s">
        <v>188</v>
      </c>
      <c r="SFS16" t="s">
        <v>188</v>
      </c>
      <c r="SFT16" t="s">
        <v>188</v>
      </c>
      <c r="SFU16" t="s">
        <v>188</v>
      </c>
      <c r="SFV16" t="s">
        <v>188</v>
      </c>
      <c r="SFW16" t="s">
        <v>188</v>
      </c>
      <c r="SFX16" t="s">
        <v>188</v>
      </c>
      <c r="SFY16" t="s">
        <v>188</v>
      </c>
      <c r="SFZ16" t="s">
        <v>188</v>
      </c>
      <c r="SGA16" t="s">
        <v>188</v>
      </c>
      <c r="SGB16" t="s">
        <v>188</v>
      </c>
      <c r="SGC16" t="s">
        <v>188</v>
      </c>
      <c r="SGD16" t="s">
        <v>188</v>
      </c>
      <c r="SGE16" t="s">
        <v>188</v>
      </c>
      <c r="SGF16" t="s">
        <v>188</v>
      </c>
      <c r="SGG16" t="s">
        <v>188</v>
      </c>
      <c r="SGH16" t="s">
        <v>188</v>
      </c>
      <c r="SGI16" t="s">
        <v>188</v>
      </c>
      <c r="SGJ16" t="s">
        <v>188</v>
      </c>
      <c r="SGK16" t="s">
        <v>188</v>
      </c>
      <c r="SGL16" t="s">
        <v>188</v>
      </c>
      <c r="SGM16" t="s">
        <v>188</v>
      </c>
      <c r="SGN16" t="s">
        <v>188</v>
      </c>
      <c r="SGO16" t="s">
        <v>188</v>
      </c>
      <c r="SGP16" t="s">
        <v>188</v>
      </c>
      <c r="SGQ16" t="s">
        <v>188</v>
      </c>
      <c r="SGR16" t="s">
        <v>188</v>
      </c>
      <c r="SGS16" t="s">
        <v>188</v>
      </c>
      <c r="SGT16" t="s">
        <v>188</v>
      </c>
      <c r="SGU16" t="s">
        <v>188</v>
      </c>
      <c r="SGV16" t="s">
        <v>188</v>
      </c>
      <c r="SGW16" t="s">
        <v>188</v>
      </c>
      <c r="SGX16" t="s">
        <v>188</v>
      </c>
      <c r="SGY16" t="s">
        <v>188</v>
      </c>
      <c r="SGZ16" t="s">
        <v>188</v>
      </c>
      <c r="SHA16" t="s">
        <v>188</v>
      </c>
      <c r="SHB16" t="s">
        <v>188</v>
      </c>
      <c r="SHC16" t="s">
        <v>188</v>
      </c>
      <c r="SHD16" t="s">
        <v>188</v>
      </c>
      <c r="SHE16" t="s">
        <v>188</v>
      </c>
      <c r="SHF16" t="s">
        <v>188</v>
      </c>
      <c r="SHG16" t="s">
        <v>188</v>
      </c>
      <c r="SHH16" t="s">
        <v>188</v>
      </c>
      <c r="SHI16" t="s">
        <v>188</v>
      </c>
      <c r="SHJ16" t="s">
        <v>188</v>
      </c>
      <c r="SHK16" t="s">
        <v>188</v>
      </c>
      <c r="SHL16" t="s">
        <v>188</v>
      </c>
      <c r="SHM16" t="s">
        <v>188</v>
      </c>
      <c r="SHN16" t="s">
        <v>188</v>
      </c>
      <c r="SHO16" t="s">
        <v>188</v>
      </c>
      <c r="SHP16" t="s">
        <v>188</v>
      </c>
      <c r="SHQ16" t="s">
        <v>188</v>
      </c>
      <c r="SHR16" t="s">
        <v>188</v>
      </c>
      <c r="SHS16" t="s">
        <v>188</v>
      </c>
      <c r="SHT16" t="s">
        <v>188</v>
      </c>
      <c r="SHU16" t="s">
        <v>188</v>
      </c>
      <c r="SHV16" t="s">
        <v>188</v>
      </c>
      <c r="SHW16" t="s">
        <v>188</v>
      </c>
      <c r="SHX16" t="s">
        <v>188</v>
      </c>
      <c r="SHY16" t="s">
        <v>188</v>
      </c>
      <c r="SHZ16" t="s">
        <v>188</v>
      </c>
      <c r="SIA16" t="s">
        <v>188</v>
      </c>
      <c r="SIB16" t="s">
        <v>188</v>
      </c>
      <c r="SIC16" t="s">
        <v>188</v>
      </c>
      <c r="SID16" t="s">
        <v>188</v>
      </c>
      <c r="SIE16" t="s">
        <v>188</v>
      </c>
      <c r="SIF16" t="s">
        <v>188</v>
      </c>
      <c r="SIG16" t="s">
        <v>188</v>
      </c>
      <c r="SIH16" t="s">
        <v>188</v>
      </c>
      <c r="SII16" t="s">
        <v>188</v>
      </c>
      <c r="SIJ16" t="s">
        <v>188</v>
      </c>
      <c r="SIK16" t="s">
        <v>188</v>
      </c>
      <c r="SIL16" t="s">
        <v>188</v>
      </c>
      <c r="SIM16" t="s">
        <v>188</v>
      </c>
      <c r="SIN16" t="s">
        <v>188</v>
      </c>
      <c r="SIO16" t="s">
        <v>188</v>
      </c>
      <c r="SIP16" t="s">
        <v>188</v>
      </c>
      <c r="SIQ16" t="s">
        <v>188</v>
      </c>
      <c r="SIR16" t="s">
        <v>188</v>
      </c>
      <c r="SIS16" t="s">
        <v>188</v>
      </c>
      <c r="SIT16" t="s">
        <v>188</v>
      </c>
      <c r="SIU16" t="s">
        <v>188</v>
      </c>
      <c r="SIV16" t="s">
        <v>188</v>
      </c>
      <c r="SIW16" t="s">
        <v>188</v>
      </c>
      <c r="SIX16" t="s">
        <v>188</v>
      </c>
      <c r="SIY16" t="s">
        <v>188</v>
      </c>
      <c r="SIZ16" t="s">
        <v>188</v>
      </c>
      <c r="SJA16" t="s">
        <v>188</v>
      </c>
      <c r="SJB16" t="s">
        <v>188</v>
      </c>
      <c r="SJC16" t="s">
        <v>188</v>
      </c>
      <c r="SJD16" t="s">
        <v>188</v>
      </c>
      <c r="SJE16" t="s">
        <v>188</v>
      </c>
      <c r="SJF16" t="s">
        <v>188</v>
      </c>
      <c r="SJG16" t="s">
        <v>188</v>
      </c>
      <c r="SJH16" t="s">
        <v>188</v>
      </c>
      <c r="SJI16" t="s">
        <v>188</v>
      </c>
      <c r="SJJ16" t="s">
        <v>188</v>
      </c>
      <c r="SJK16" t="s">
        <v>188</v>
      </c>
      <c r="SJL16" t="s">
        <v>188</v>
      </c>
      <c r="SJM16" t="s">
        <v>188</v>
      </c>
      <c r="SJN16" t="s">
        <v>188</v>
      </c>
      <c r="SJO16" t="s">
        <v>188</v>
      </c>
      <c r="SJP16" t="s">
        <v>188</v>
      </c>
      <c r="SJQ16" t="s">
        <v>188</v>
      </c>
      <c r="SJR16" t="s">
        <v>188</v>
      </c>
      <c r="SJS16" t="s">
        <v>188</v>
      </c>
      <c r="SJT16" t="s">
        <v>188</v>
      </c>
      <c r="SJU16" t="s">
        <v>188</v>
      </c>
      <c r="SJV16" t="s">
        <v>188</v>
      </c>
      <c r="SJW16" t="s">
        <v>188</v>
      </c>
      <c r="SJX16" t="s">
        <v>188</v>
      </c>
      <c r="SJY16" t="s">
        <v>188</v>
      </c>
      <c r="SJZ16" t="s">
        <v>188</v>
      </c>
      <c r="SKA16" t="s">
        <v>188</v>
      </c>
      <c r="SKB16" t="s">
        <v>188</v>
      </c>
      <c r="SKC16" t="s">
        <v>188</v>
      </c>
      <c r="SKD16" t="s">
        <v>188</v>
      </c>
      <c r="SKE16" t="s">
        <v>188</v>
      </c>
      <c r="SKF16" t="s">
        <v>188</v>
      </c>
      <c r="SKG16" t="s">
        <v>188</v>
      </c>
      <c r="SKH16" t="s">
        <v>188</v>
      </c>
      <c r="SKI16" t="s">
        <v>188</v>
      </c>
      <c r="SKJ16" t="s">
        <v>188</v>
      </c>
      <c r="SKK16" t="s">
        <v>188</v>
      </c>
      <c r="SKL16" t="s">
        <v>188</v>
      </c>
      <c r="SKM16" t="s">
        <v>188</v>
      </c>
      <c r="SKN16" t="s">
        <v>188</v>
      </c>
      <c r="SKO16" t="s">
        <v>188</v>
      </c>
      <c r="SKP16" t="s">
        <v>188</v>
      </c>
      <c r="SKQ16" t="s">
        <v>188</v>
      </c>
      <c r="SKR16" t="s">
        <v>188</v>
      </c>
      <c r="SKS16" t="s">
        <v>188</v>
      </c>
      <c r="SKT16" t="s">
        <v>188</v>
      </c>
      <c r="SKU16" t="s">
        <v>188</v>
      </c>
      <c r="SKV16" t="s">
        <v>188</v>
      </c>
      <c r="SKW16" t="s">
        <v>188</v>
      </c>
      <c r="SKX16" t="s">
        <v>188</v>
      </c>
      <c r="SKY16" t="s">
        <v>188</v>
      </c>
      <c r="SKZ16" t="s">
        <v>188</v>
      </c>
      <c r="SLA16" t="s">
        <v>188</v>
      </c>
      <c r="SLB16" t="s">
        <v>188</v>
      </c>
      <c r="SLC16" t="s">
        <v>188</v>
      </c>
      <c r="SLD16" t="s">
        <v>188</v>
      </c>
      <c r="SLE16" t="s">
        <v>188</v>
      </c>
      <c r="SLF16" t="s">
        <v>188</v>
      </c>
      <c r="SLG16" t="s">
        <v>188</v>
      </c>
      <c r="SLH16" t="s">
        <v>188</v>
      </c>
      <c r="SLI16" t="s">
        <v>188</v>
      </c>
      <c r="SLJ16" t="s">
        <v>188</v>
      </c>
      <c r="SLK16" t="s">
        <v>188</v>
      </c>
      <c r="SLL16" t="s">
        <v>188</v>
      </c>
      <c r="SLM16" t="s">
        <v>188</v>
      </c>
      <c r="SLN16" t="s">
        <v>188</v>
      </c>
      <c r="SLO16" t="s">
        <v>188</v>
      </c>
      <c r="SLP16" t="s">
        <v>188</v>
      </c>
      <c r="SLQ16" t="s">
        <v>188</v>
      </c>
      <c r="SLR16" t="s">
        <v>188</v>
      </c>
      <c r="SLS16" t="s">
        <v>188</v>
      </c>
      <c r="SLT16" t="s">
        <v>188</v>
      </c>
      <c r="SLU16" t="s">
        <v>188</v>
      </c>
      <c r="SLV16" t="s">
        <v>188</v>
      </c>
      <c r="SLW16" t="s">
        <v>188</v>
      </c>
      <c r="SLX16" t="s">
        <v>188</v>
      </c>
      <c r="SLY16" t="s">
        <v>188</v>
      </c>
      <c r="SLZ16" t="s">
        <v>188</v>
      </c>
      <c r="SMA16" t="s">
        <v>188</v>
      </c>
      <c r="SMB16" t="s">
        <v>188</v>
      </c>
      <c r="SMC16" t="s">
        <v>188</v>
      </c>
      <c r="SMD16" t="s">
        <v>188</v>
      </c>
      <c r="SME16" t="s">
        <v>188</v>
      </c>
      <c r="SMF16" t="s">
        <v>188</v>
      </c>
      <c r="SMG16" t="s">
        <v>188</v>
      </c>
      <c r="SMH16" t="s">
        <v>188</v>
      </c>
      <c r="SMI16" t="s">
        <v>188</v>
      </c>
      <c r="SMJ16" t="s">
        <v>188</v>
      </c>
      <c r="SMK16" t="s">
        <v>188</v>
      </c>
      <c r="SML16" t="s">
        <v>188</v>
      </c>
      <c r="SMM16" t="s">
        <v>188</v>
      </c>
      <c r="SMN16" t="s">
        <v>188</v>
      </c>
      <c r="SMO16" t="s">
        <v>188</v>
      </c>
      <c r="SMP16" t="s">
        <v>188</v>
      </c>
      <c r="SMQ16" t="s">
        <v>188</v>
      </c>
      <c r="SMR16" t="s">
        <v>188</v>
      </c>
      <c r="SMS16" t="s">
        <v>188</v>
      </c>
      <c r="SMT16" t="s">
        <v>188</v>
      </c>
      <c r="SMU16" t="s">
        <v>188</v>
      </c>
      <c r="SMV16" t="s">
        <v>188</v>
      </c>
      <c r="SMW16" t="s">
        <v>188</v>
      </c>
      <c r="SMX16" t="s">
        <v>188</v>
      </c>
      <c r="SMY16" t="s">
        <v>188</v>
      </c>
      <c r="SMZ16" t="s">
        <v>188</v>
      </c>
      <c r="SNA16" t="s">
        <v>188</v>
      </c>
      <c r="SNB16" t="s">
        <v>188</v>
      </c>
      <c r="SNC16" t="s">
        <v>188</v>
      </c>
      <c r="SND16" t="s">
        <v>188</v>
      </c>
      <c r="SNE16" t="s">
        <v>188</v>
      </c>
      <c r="SNF16" t="s">
        <v>188</v>
      </c>
      <c r="SNG16" t="s">
        <v>188</v>
      </c>
      <c r="SNH16" t="s">
        <v>188</v>
      </c>
      <c r="SNI16" t="s">
        <v>188</v>
      </c>
      <c r="SNJ16" t="s">
        <v>188</v>
      </c>
      <c r="SNK16" t="s">
        <v>188</v>
      </c>
      <c r="SNL16" t="s">
        <v>188</v>
      </c>
      <c r="SNM16" t="s">
        <v>188</v>
      </c>
      <c r="SNN16" t="s">
        <v>188</v>
      </c>
      <c r="SNO16" t="s">
        <v>188</v>
      </c>
      <c r="SNP16" t="s">
        <v>188</v>
      </c>
      <c r="SNQ16" t="s">
        <v>188</v>
      </c>
      <c r="SNR16" t="s">
        <v>188</v>
      </c>
      <c r="SNS16" t="s">
        <v>188</v>
      </c>
      <c r="SNT16" t="s">
        <v>188</v>
      </c>
      <c r="SNU16" t="s">
        <v>188</v>
      </c>
      <c r="SNV16" t="s">
        <v>188</v>
      </c>
      <c r="SNW16" t="s">
        <v>188</v>
      </c>
      <c r="SNX16" t="s">
        <v>188</v>
      </c>
      <c r="SNY16" t="s">
        <v>188</v>
      </c>
      <c r="SNZ16" t="s">
        <v>188</v>
      </c>
      <c r="SOA16" t="s">
        <v>188</v>
      </c>
      <c r="SOB16" t="s">
        <v>188</v>
      </c>
      <c r="SOC16" t="s">
        <v>188</v>
      </c>
      <c r="SOD16" t="s">
        <v>188</v>
      </c>
      <c r="SOE16" t="s">
        <v>188</v>
      </c>
      <c r="SOF16" t="s">
        <v>188</v>
      </c>
      <c r="SOG16" t="s">
        <v>188</v>
      </c>
      <c r="SOH16" t="s">
        <v>188</v>
      </c>
      <c r="SOI16" t="s">
        <v>188</v>
      </c>
      <c r="SOJ16" t="s">
        <v>188</v>
      </c>
      <c r="SOK16" t="s">
        <v>188</v>
      </c>
      <c r="SOL16" t="s">
        <v>188</v>
      </c>
      <c r="SOM16" t="s">
        <v>188</v>
      </c>
      <c r="SON16" t="s">
        <v>188</v>
      </c>
      <c r="SOO16" t="s">
        <v>188</v>
      </c>
      <c r="SOP16" t="s">
        <v>188</v>
      </c>
      <c r="SOQ16" t="s">
        <v>188</v>
      </c>
      <c r="SOR16" t="s">
        <v>188</v>
      </c>
      <c r="SOS16" t="s">
        <v>188</v>
      </c>
      <c r="SOT16" t="s">
        <v>188</v>
      </c>
      <c r="SOU16" t="s">
        <v>188</v>
      </c>
      <c r="SOV16" t="s">
        <v>188</v>
      </c>
      <c r="SOW16" t="s">
        <v>188</v>
      </c>
      <c r="SOX16" t="s">
        <v>188</v>
      </c>
      <c r="SOY16" t="s">
        <v>188</v>
      </c>
      <c r="SOZ16" t="s">
        <v>188</v>
      </c>
      <c r="SPA16" t="s">
        <v>188</v>
      </c>
      <c r="SPB16" t="s">
        <v>188</v>
      </c>
      <c r="SPC16" t="s">
        <v>188</v>
      </c>
      <c r="SPD16" t="s">
        <v>188</v>
      </c>
      <c r="SPE16" t="s">
        <v>188</v>
      </c>
      <c r="SPF16" t="s">
        <v>188</v>
      </c>
      <c r="SPG16" t="s">
        <v>188</v>
      </c>
      <c r="SPH16" t="s">
        <v>188</v>
      </c>
      <c r="SPI16" t="s">
        <v>188</v>
      </c>
      <c r="SPJ16" t="s">
        <v>188</v>
      </c>
      <c r="SPK16" t="s">
        <v>188</v>
      </c>
      <c r="SPL16" t="s">
        <v>188</v>
      </c>
      <c r="SPM16" t="s">
        <v>188</v>
      </c>
      <c r="SPN16" t="s">
        <v>188</v>
      </c>
      <c r="SPO16" t="s">
        <v>188</v>
      </c>
      <c r="SPP16" t="s">
        <v>188</v>
      </c>
      <c r="SPQ16" t="s">
        <v>188</v>
      </c>
      <c r="SPR16" t="s">
        <v>188</v>
      </c>
      <c r="SPS16" t="s">
        <v>188</v>
      </c>
      <c r="SPT16" t="s">
        <v>188</v>
      </c>
      <c r="SPU16" t="s">
        <v>188</v>
      </c>
      <c r="SPV16" t="s">
        <v>188</v>
      </c>
      <c r="SPW16" t="s">
        <v>188</v>
      </c>
      <c r="SPX16" t="s">
        <v>188</v>
      </c>
      <c r="SPY16" t="s">
        <v>188</v>
      </c>
      <c r="SPZ16" t="s">
        <v>188</v>
      </c>
      <c r="SQA16" t="s">
        <v>188</v>
      </c>
      <c r="SQB16" t="s">
        <v>188</v>
      </c>
      <c r="SQC16" t="s">
        <v>188</v>
      </c>
      <c r="SQD16" t="s">
        <v>188</v>
      </c>
      <c r="SQE16" t="s">
        <v>188</v>
      </c>
      <c r="SQF16" t="s">
        <v>188</v>
      </c>
      <c r="SQG16" t="s">
        <v>188</v>
      </c>
      <c r="SQH16" t="s">
        <v>188</v>
      </c>
      <c r="SQI16" t="s">
        <v>188</v>
      </c>
      <c r="SQJ16" t="s">
        <v>188</v>
      </c>
      <c r="SQK16" t="s">
        <v>188</v>
      </c>
      <c r="SQL16" t="s">
        <v>188</v>
      </c>
      <c r="SQM16" t="s">
        <v>188</v>
      </c>
      <c r="SQN16" t="s">
        <v>188</v>
      </c>
      <c r="SQO16" t="s">
        <v>188</v>
      </c>
      <c r="SQP16" t="s">
        <v>188</v>
      </c>
      <c r="SQQ16" t="s">
        <v>188</v>
      </c>
      <c r="SQR16" t="s">
        <v>188</v>
      </c>
      <c r="SQS16" t="s">
        <v>188</v>
      </c>
      <c r="SQT16" t="s">
        <v>188</v>
      </c>
      <c r="SQU16" t="s">
        <v>188</v>
      </c>
      <c r="SQV16" t="s">
        <v>188</v>
      </c>
      <c r="SQW16" t="s">
        <v>188</v>
      </c>
      <c r="SQX16" t="s">
        <v>188</v>
      </c>
      <c r="SQY16" t="s">
        <v>188</v>
      </c>
      <c r="SQZ16" t="s">
        <v>188</v>
      </c>
      <c r="SRA16" t="s">
        <v>188</v>
      </c>
      <c r="SRB16" t="s">
        <v>188</v>
      </c>
      <c r="SRC16" t="s">
        <v>188</v>
      </c>
      <c r="SRD16" t="s">
        <v>188</v>
      </c>
      <c r="SRE16" t="s">
        <v>188</v>
      </c>
      <c r="SRF16" t="s">
        <v>188</v>
      </c>
      <c r="SRG16" t="s">
        <v>188</v>
      </c>
      <c r="SRH16" t="s">
        <v>188</v>
      </c>
      <c r="SRI16" t="s">
        <v>188</v>
      </c>
      <c r="SRJ16" t="s">
        <v>188</v>
      </c>
      <c r="SRK16" t="s">
        <v>188</v>
      </c>
      <c r="SRL16" t="s">
        <v>188</v>
      </c>
      <c r="SRM16" t="s">
        <v>188</v>
      </c>
      <c r="SRN16" t="s">
        <v>188</v>
      </c>
      <c r="SRO16" t="s">
        <v>188</v>
      </c>
      <c r="SRP16" t="s">
        <v>188</v>
      </c>
      <c r="SRQ16" t="s">
        <v>188</v>
      </c>
      <c r="SRR16" t="s">
        <v>188</v>
      </c>
      <c r="SRS16" t="s">
        <v>188</v>
      </c>
      <c r="SRT16" t="s">
        <v>188</v>
      </c>
      <c r="SRU16" t="s">
        <v>188</v>
      </c>
      <c r="SRV16" t="s">
        <v>188</v>
      </c>
      <c r="SRW16" t="s">
        <v>188</v>
      </c>
      <c r="SRX16" t="s">
        <v>188</v>
      </c>
      <c r="SRY16" t="s">
        <v>188</v>
      </c>
      <c r="SRZ16" t="s">
        <v>188</v>
      </c>
      <c r="SSA16" t="s">
        <v>188</v>
      </c>
      <c r="SSB16" t="s">
        <v>188</v>
      </c>
      <c r="SSC16" t="s">
        <v>188</v>
      </c>
      <c r="SSD16" t="s">
        <v>188</v>
      </c>
      <c r="SSE16" t="s">
        <v>188</v>
      </c>
      <c r="SSF16" t="s">
        <v>188</v>
      </c>
      <c r="SSG16" t="s">
        <v>188</v>
      </c>
      <c r="SSH16" t="s">
        <v>188</v>
      </c>
      <c r="SSI16" t="s">
        <v>188</v>
      </c>
      <c r="SSJ16" t="s">
        <v>188</v>
      </c>
      <c r="SSK16" t="s">
        <v>188</v>
      </c>
      <c r="SSL16" t="s">
        <v>188</v>
      </c>
      <c r="SSM16" t="s">
        <v>188</v>
      </c>
      <c r="SSN16" t="s">
        <v>188</v>
      </c>
      <c r="SSO16" t="s">
        <v>188</v>
      </c>
      <c r="SSP16" t="s">
        <v>188</v>
      </c>
      <c r="SSQ16" t="s">
        <v>188</v>
      </c>
      <c r="SSR16" t="s">
        <v>188</v>
      </c>
      <c r="SSS16" t="s">
        <v>188</v>
      </c>
      <c r="SST16" t="s">
        <v>188</v>
      </c>
      <c r="SSU16" t="s">
        <v>188</v>
      </c>
      <c r="SSV16" t="s">
        <v>188</v>
      </c>
      <c r="SSW16" t="s">
        <v>188</v>
      </c>
      <c r="SSX16" t="s">
        <v>188</v>
      </c>
      <c r="SSY16" t="s">
        <v>188</v>
      </c>
      <c r="SSZ16" t="s">
        <v>188</v>
      </c>
      <c r="STA16" t="s">
        <v>188</v>
      </c>
      <c r="STB16" t="s">
        <v>188</v>
      </c>
      <c r="STC16" t="s">
        <v>188</v>
      </c>
      <c r="STD16" t="s">
        <v>188</v>
      </c>
      <c r="STE16" t="s">
        <v>188</v>
      </c>
      <c r="STF16" t="s">
        <v>188</v>
      </c>
      <c r="STG16" t="s">
        <v>188</v>
      </c>
      <c r="STH16" t="s">
        <v>188</v>
      </c>
      <c r="STI16" t="s">
        <v>188</v>
      </c>
      <c r="STJ16" t="s">
        <v>188</v>
      </c>
      <c r="STK16" t="s">
        <v>188</v>
      </c>
      <c r="STL16" t="s">
        <v>188</v>
      </c>
      <c r="STM16" t="s">
        <v>188</v>
      </c>
      <c r="STN16" t="s">
        <v>188</v>
      </c>
      <c r="STO16" t="s">
        <v>188</v>
      </c>
      <c r="STP16" t="s">
        <v>188</v>
      </c>
      <c r="STQ16" t="s">
        <v>188</v>
      </c>
      <c r="STR16" t="s">
        <v>188</v>
      </c>
      <c r="STS16" t="s">
        <v>188</v>
      </c>
      <c r="STT16" t="s">
        <v>188</v>
      </c>
      <c r="STU16" t="s">
        <v>188</v>
      </c>
      <c r="STV16" t="s">
        <v>188</v>
      </c>
      <c r="STW16" t="s">
        <v>188</v>
      </c>
      <c r="STX16" t="s">
        <v>188</v>
      </c>
      <c r="STY16" t="s">
        <v>188</v>
      </c>
      <c r="STZ16" t="s">
        <v>188</v>
      </c>
      <c r="SUA16" t="s">
        <v>188</v>
      </c>
      <c r="SUB16" t="s">
        <v>188</v>
      </c>
      <c r="SUC16" t="s">
        <v>188</v>
      </c>
      <c r="SUD16" t="s">
        <v>188</v>
      </c>
      <c r="SUE16" t="s">
        <v>188</v>
      </c>
      <c r="SUF16" t="s">
        <v>188</v>
      </c>
      <c r="SUG16" t="s">
        <v>188</v>
      </c>
      <c r="SUH16" t="s">
        <v>188</v>
      </c>
      <c r="SUI16" t="s">
        <v>188</v>
      </c>
      <c r="SUJ16" t="s">
        <v>188</v>
      </c>
      <c r="SUK16" t="s">
        <v>188</v>
      </c>
      <c r="SUL16" t="s">
        <v>188</v>
      </c>
      <c r="SUM16" t="s">
        <v>188</v>
      </c>
      <c r="SUN16" t="s">
        <v>188</v>
      </c>
      <c r="SUO16" t="s">
        <v>188</v>
      </c>
      <c r="SUP16" t="s">
        <v>188</v>
      </c>
      <c r="SUQ16" t="s">
        <v>188</v>
      </c>
      <c r="SUR16" t="s">
        <v>188</v>
      </c>
      <c r="SUS16" t="s">
        <v>188</v>
      </c>
      <c r="SUT16" t="s">
        <v>188</v>
      </c>
      <c r="SUU16" t="s">
        <v>188</v>
      </c>
      <c r="SUV16" t="s">
        <v>188</v>
      </c>
      <c r="SUW16" t="s">
        <v>188</v>
      </c>
      <c r="SUX16" t="s">
        <v>188</v>
      </c>
      <c r="SUY16" t="s">
        <v>188</v>
      </c>
      <c r="SUZ16" t="s">
        <v>188</v>
      </c>
      <c r="SVA16" t="s">
        <v>188</v>
      </c>
      <c r="SVB16" t="s">
        <v>188</v>
      </c>
      <c r="SVC16" t="s">
        <v>188</v>
      </c>
      <c r="SVD16" t="s">
        <v>188</v>
      </c>
      <c r="SVE16" t="s">
        <v>188</v>
      </c>
      <c r="SVF16" t="s">
        <v>188</v>
      </c>
      <c r="SVG16" t="s">
        <v>188</v>
      </c>
      <c r="SVH16" t="s">
        <v>188</v>
      </c>
      <c r="SVI16" t="s">
        <v>188</v>
      </c>
      <c r="SVJ16" t="s">
        <v>188</v>
      </c>
      <c r="SVK16" t="s">
        <v>188</v>
      </c>
      <c r="SVL16" t="s">
        <v>188</v>
      </c>
      <c r="SVM16" t="s">
        <v>188</v>
      </c>
      <c r="SVN16" t="s">
        <v>188</v>
      </c>
      <c r="SVO16" t="s">
        <v>188</v>
      </c>
      <c r="SVP16" t="s">
        <v>188</v>
      </c>
      <c r="SVQ16" t="s">
        <v>188</v>
      </c>
      <c r="SVR16" t="s">
        <v>188</v>
      </c>
      <c r="SVS16" t="s">
        <v>188</v>
      </c>
      <c r="SVT16" t="s">
        <v>188</v>
      </c>
      <c r="SVU16" t="s">
        <v>188</v>
      </c>
      <c r="SVV16" t="s">
        <v>188</v>
      </c>
      <c r="SVW16" t="s">
        <v>188</v>
      </c>
      <c r="SVX16" t="s">
        <v>188</v>
      </c>
      <c r="SVY16" t="s">
        <v>188</v>
      </c>
      <c r="SVZ16" t="s">
        <v>188</v>
      </c>
      <c r="SWA16" t="s">
        <v>188</v>
      </c>
      <c r="SWB16" t="s">
        <v>188</v>
      </c>
      <c r="SWC16" t="s">
        <v>188</v>
      </c>
      <c r="SWD16" t="s">
        <v>188</v>
      </c>
      <c r="SWE16" t="s">
        <v>188</v>
      </c>
      <c r="SWF16" t="s">
        <v>188</v>
      </c>
      <c r="SWG16" t="s">
        <v>188</v>
      </c>
      <c r="SWH16" t="s">
        <v>188</v>
      </c>
      <c r="SWI16" t="s">
        <v>188</v>
      </c>
      <c r="SWJ16" t="s">
        <v>188</v>
      </c>
      <c r="SWK16" t="s">
        <v>188</v>
      </c>
      <c r="SWL16" t="s">
        <v>188</v>
      </c>
      <c r="SWM16" t="s">
        <v>188</v>
      </c>
      <c r="SWN16" t="s">
        <v>188</v>
      </c>
      <c r="SWO16" t="s">
        <v>188</v>
      </c>
      <c r="SWP16" t="s">
        <v>188</v>
      </c>
      <c r="SWQ16" t="s">
        <v>188</v>
      </c>
      <c r="SWR16" t="s">
        <v>188</v>
      </c>
      <c r="SWS16" t="s">
        <v>188</v>
      </c>
      <c r="SWT16" t="s">
        <v>188</v>
      </c>
      <c r="SWU16" t="s">
        <v>188</v>
      </c>
      <c r="SWV16" t="s">
        <v>188</v>
      </c>
      <c r="SWW16" t="s">
        <v>188</v>
      </c>
      <c r="SWX16" t="s">
        <v>188</v>
      </c>
      <c r="SWY16" t="s">
        <v>188</v>
      </c>
      <c r="SWZ16" t="s">
        <v>188</v>
      </c>
      <c r="SXA16" t="s">
        <v>188</v>
      </c>
      <c r="SXB16" t="s">
        <v>188</v>
      </c>
      <c r="SXC16" t="s">
        <v>188</v>
      </c>
      <c r="SXD16" t="s">
        <v>188</v>
      </c>
      <c r="SXE16" t="s">
        <v>188</v>
      </c>
      <c r="SXF16" t="s">
        <v>188</v>
      </c>
      <c r="SXG16" t="s">
        <v>188</v>
      </c>
      <c r="SXH16" t="s">
        <v>188</v>
      </c>
      <c r="SXI16" t="s">
        <v>188</v>
      </c>
      <c r="SXJ16" t="s">
        <v>188</v>
      </c>
      <c r="SXK16" t="s">
        <v>188</v>
      </c>
      <c r="SXL16" t="s">
        <v>188</v>
      </c>
      <c r="SXM16" t="s">
        <v>188</v>
      </c>
      <c r="SXN16" t="s">
        <v>188</v>
      </c>
      <c r="SXO16" t="s">
        <v>188</v>
      </c>
      <c r="SXP16" t="s">
        <v>188</v>
      </c>
      <c r="SXQ16" t="s">
        <v>188</v>
      </c>
      <c r="SXR16" t="s">
        <v>188</v>
      </c>
      <c r="SXS16" t="s">
        <v>188</v>
      </c>
      <c r="SXT16" t="s">
        <v>188</v>
      </c>
      <c r="SXU16" t="s">
        <v>188</v>
      </c>
      <c r="SXV16" t="s">
        <v>188</v>
      </c>
      <c r="SXW16" t="s">
        <v>188</v>
      </c>
      <c r="SXX16" t="s">
        <v>188</v>
      </c>
      <c r="SXY16" t="s">
        <v>188</v>
      </c>
      <c r="SXZ16" t="s">
        <v>188</v>
      </c>
      <c r="SYA16" t="s">
        <v>188</v>
      </c>
      <c r="SYB16" t="s">
        <v>188</v>
      </c>
      <c r="SYC16" t="s">
        <v>188</v>
      </c>
      <c r="SYD16" t="s">
        <v>188</v>
      </c>
      <c r="SYE16" t="s">
        <v>188</v>
      </c>
      <c r="SYF16" t="s">
        <v>188</v>
      </c>
      <c r="SYG16" t="s">
        <v>188</v>
      </c>
      <c r="SYH16" t="s">
        <v>188</v>
      </c>
      <c r="SYI16" t="s">
        <v>188</v>
      </c>
      <c r="SYJ16" t="s">
        <v>188</v>
      </c>
      <c r="SYK16" t="s">
        <v>188</v>
      </c>
      <c r="SYL16" t="s">
        <v>188</v>
      </c>
      <c r="SYM16" t="s">
        <v>188</v>
      </c>
      <c r="SYN16" t="s">
        <v>188</v>
      </c>
      <c r="SYO16" t="s">
        <v>188</v>
      </c>
      <c r="SYP16" t="s">
        <v>188</v>
      </c>
      <c r="SYQ16" t="s">
        <v>188</v>
      </c>
      <c r="SYR16" t="s">
        <v>188</v>
      </c>
      <c r="SYS16" t="s">
        <v>188</v>
      </c>
      <c r="SYT16" t="s">
        <v>188</v>
      </c>
      <c r="SYU16" t="s">
        <v>188</v>
      </c>
      <c r="SYV16" t="s">
        <v>188</v>
      </c>
      <c r="SYW16" t="s">
        <v>188</v>
      </c>
      <c r="SYX16" t="s">
        <v>188</v>
      </c>
      <c r="SYY16" t="s">
        <v>188</v>
      </c>
      <c r="SYZ16" t="s">
        <v>188</v>
      </c>
      <c r="SZA16" t="s">
        <v>188</v>
      </c>
      <c r="SZB16" t="s">
        <v>188</v>
      </c>
      <c r="SZC16" t="s">
        <v>188</v>
      </c>
      <c r="SZD16" t="s">
        <v>188</v>
      </c>
      <c r="SZE16" t="s">
        <v>188</v>
      </c>
      <c r="SZF16" t="s">
        <v>188</v>
      </c>
      <c r="SZG16" t="s">
        <v>188</v>
      </c>
      <c r="SZH16" t="s">
        <v>188</v>
      </c>
      <c r="SZI16" t="s">
        <v>188</v>
      </c>
      <c r="SZJ16" t="s">
        <v>188</v>
      </c>
      <c r="SZK16" t="s">
        <v>188</v>
      </c>
      <c r="SZL16" t="s">
        <v>188</v>
      </c>
      <c r="SZM16" t="s">
        <v>188</v>
      </c>
      <c r="SZN16" t="s">
        <v>188</v>
      </c>
      <c r="SZO16" t="s">
        <v>188</v>
      </c>
      <c r="SZP16" t="s">
        <v>188</v>
      </c>
      <c r="SZQ16" t="s">
        <v>188</v>
      </c>
      <c r="SZR16" t="s">
        <v>188</v>
      </c>
      <c r="SZS16" t="s">
        <v>188</v>
      </c>
      <c r="SZT16" t="s">
        <v>188</v>
      </c>
      <c r="SZU16" t="s">
        <v>188</v>
      </c>
      <c r="SZV16" t="s">
        <v>188</v>
      </c>
      <c r="SZW16" t="s">
        <v>188</v>
      </c>
      <c r="SZX16" t="s">
        <v>188</v>
      </c>
      <c r="SZY16" t="s">
        <v>188</v>
      </c>
      <c r="SZZ16" t="s">
        <v>188</v>
      </c>
      <c r="TAA16" t="s">
        <v>188</v>
      </c>
      <c r="TAB16" t="s">
        <v>188</v>
      </c>
      <c r="TAC16" t="s">
        <v>188</v>
      </c>
      <c r="TAD16" t="s">
        <v>188</v>
      </c>
      <c r="TAE16" t="s">
        <v>188</v>
      </c>
      <c r="TAF16" t="s">
        <v>188</v>
      </c>
      <c r="TAG16" t="s">
        <v>188</v>
      </c>
      <c r="TAH16" t="s">
        <v>188</v>
      </c>
      <c r="TAI16" t="s">
        <v>188</v>
      </c>
      <c r="TAJ16" t="s">
        <v>188</v>
      </c>
      <c r="TAK16" t="s">
        <v>188</v>
      </c>
      <c r="TAL16" t="s">
        <v>188</v>
      </c>
      <c r="TAM16" t="s">
        <v>188</v>
      </c>
      <c r="TAN16" t="s">
        <v>188</v>
      </c>
      <c r="TAO16" t="s">
        <v>188</v>
      </c>
      <c r="TAP16" t="s">
        <v>188</v>
      </c>
      <c r="TAQ16" t="s">
        <v>188</v>
      </c>
      <c r="TAR16" t="s">
        <v>188</v>
      </c>
      <c r="TAS16" t="s">
        <v>188</v>
      </c>
      <c r="TAT16" t="s">
        <v>188</v>
      </c>
      <c r="TAU16" t="s">
        <v>188</v>
      </c>
      <c r="TAV16" t="s">
        <v>188</v>
      </c>
      <c r="TAW16" t="s">
        <v>188</v>
      </c>
      <c r="TAX16" t="s">
        <v>188</v>
      </c>
      <c r="TAY16" t="s">
        <v>188</v>
      </c>
      <c r="TAZ16" t="s">
        <v>188</v>
      </c>
      <c r="TBA16" t="s">
        <v>188</v>
      </c>
      <c r="TBB16" t="s">
        <v>188</v>
      </c>
      <c r="TBC16" t="s">
        <v>188</v>
      </c>
      <c r="TBD16" t="s">
        <v>188</v>
      </c>
      <c r="TBE16" t="s">
        <v>188</v>
      </c>
      <c r="TBF16" t="s">
        <v>188</v>
      </c>
      <c r="TBG16" t="s">
        <v>188</v>
      </c>
      <c r="TBH16" t="s">
        <v>188</v>
      </c>
      <c r="TBI16" t="s">
        <v>188</v>
      </c>
      <c r="TBJ16" t="s">
        <v>188</v>
      </c>
      <c r="TBK16" t="s">
        <v>188</v>
      </c>
      <c r="TBL16" t="s">
        <v>188</v>
      </c>
      <c r="TBM16" t="s">
        <v>188</v>
      </c>
      <c r="TBN16" t="s">
        <v>188</v>
      </c>
      <c r="TBO16" t="s">
        <v>188</v>
      </c>
      <c r="TBP16" t="s">
        <v>188</v>
      </c>
      <c r="TBQ16" t="s">
        <v>188</v>
      </c>
      <c r="TBR16" t="s">
        <v>188</v>
      </c>
      <c r="TBS16" t="s">
        <v>188</v>
      </c>
      <c r="TBT16" t="s">
        <v>188</v>
      </c>
      <c r="TBU16" t="s">
        <v>188</v>
      </c>
      <c r="TBV16" t="s">
        <v>188</v>
      </c>
      <c r="TBW16" t="s">
        <v>188</v>
      </c>
      <c r="TBX16" t="s">
        <v>188</v>
      </c>
      <c r="TBY16" t="s">
        <v>188</v>
      </c>
      <c r="TBZ16" t="s">
        <v>188</v>
      </c>
      <c r="TCA16" t="s">
        <v>188</v>
      </c>
      <c r="TCB16" t="s">
        <v>188</v>
      </c>
      <c r="TCC16" t="s">
        <v>188</v>
      </c>
      <c r="TCD16" t="s">
        <v>188</v>
      </c>
      <c r="TCE16" t="s">
        <v>188</v>
      </c>
      <c r="TCF16" t="s">
        <v>188</v>
      </c>
      <c r="TCG16" t="s">
        <v>188</v>
      </c>
      <c r="TCH16" t="s">
        <v>188</v>
      </c>
      <c r="TCI16" t="s">
        <v>188</v>
      </c>
      <c r="TCJ16" t="s">
        <v>188</v>
      </c>
      <c r="TCK16" t="s">
        <v>188</v>
      </c>
      <c r="TCL16" t="s">
        <v>188</v>
      </c>
      <c r="TCM16" t="s">
        <v>188</v>
      </c>
      <c r="TCN16" t="s">
        <v>188</v>
      </c>
      <c r="TCO16" t="s">
        <v>188</v>
      </c>
      <c r="TCP16" t="s">
        <v>188</v>
      </c>
      <c r="TCQ16" t="s">
        <v>188</v>
      </c>
      <c r="TCR16" t="s">
        <v>188</v>
      </c>
      <c r="TCS16" t="s">
        <v>188</v>
      </c>
      <c r="TCT16" t="s">
        <v>188</v>
      </c>
      <c r="TCU16" t="s">
        <v>188</v>
      </c>
      <c r="TCV16" t="s">
        <v>188</v>
      </c>
      <c r="TCW16" t="s">
        <v>188</v>
      </c>
      <c r="TCX16" t="s">
        <v>188</v>
      </c>
      <c r="TCY16" t="s">
        <v>188</v>
      </c>
      <c r="TCZ16" t="s">
        <v>188</v>
      </c>
      <c r="TDA16" t="s">
        <v>188</v>
      </c>
      <c r="TDB16" t="s">
        <v>188</v>
      </c>
      <c r="TDC16" t="s">
        <v>188</v>
      </c>
      <c r="TDD16" t="s">
        <v>188</v>
      </c>
      <c r="TDE16" t="s">
        <v>188</v>
      </c>
      <c r="TDF16" t="s">
        <v>188</v>
      </c>
      <c r="TDG16" t="s">
        <v>188</v>
      </c>
      <c r="TDH16" t="s">
        <v>188</v>
      </c>
      <c r="TDI16" t="s">
        <v>188</v>
      </c>
      <c r="TDJ16" t="s">
        <v>188</v>
      </c>
      <c r="TDK16" t="s">
        <v>188</v>
      </c>
      <c r="TDL16" t="s">
        <v>188</v>
      </c>
      <c r="TDM16" t="s">
        <v>188</v>
      </c>
      <c r="TDN16" t="s">
        <v>188</v>
      </c>
      <c r="TDO16" t="s">
        <v>188</v>
      </c>
      <c r="TDP16" t="s">
        <v>188</v>
      </c>
      <c r="TDQ16" t="s">
        <v>188</v>
      </c>
      <c r="TDR16" t="s">
        <v>188</v>
      </c>
      <c r="TDS16" t="s">
        <v>188</v>
      </c>
      <c r="TDT16" t="s">
        <v>188</v>
      </c>
      <c r="TDU16" t="s">
        <v>188</v>
      </c>
      <c r="TDV16" t="s">
        <v>188</v>
      </c>
      <c r="TDW16" t="s">
        <v>188</v>
      </c>
      <c r="TDX16" t="s">
        <v>188</v>
      </c>
      <c r="TDY16" t="s">
        <v>188</v>
      </c>
      <c r="TDZ16" t="s">
        <v>188</v>
      </c>
      <c r="TEA16" t="s">
        <v>188</v>
      </c>
      <c r="TEB16" t="s">
        <v>188</v>
      </c>
      <c r="TEC16" t="s">
        <v>188</v>
      </c>
      <c r="TED16" t="s">
        <v>188</v>
      </c>
      <c r="TEE16" t="s">
        <v>188</v>
      </c>
      <c r="TEF16" t="s">
        <v>188</v>
      </c>
      <c r="TEG16" t="s">
        <v>188</v>
      </c>
      <c r="TEH16" t="s">
        <v>188</v>
      </c>
      <c r="TEI16" t="s">
        <v>188</v>
      </c>
      <c r="TEJ16" t="s">
        <v>188</v>
      </c>
      <c r="TEK16" t="s">
        <v>188</v>
      </c>
      <c r="TEL16" t="s">
        <v>188</v>
      </c>
      <c r="TEM16" t="s">
        <v>188</v>
      </c>
      <c r="TEN16" t="s">
        <v>188</v>
      </c>
      <c r="TEO16" t="s">
        <v>188</v>
      </c>
      <c r="TEP16" t="s">
        <v>188</v>
      </c>
      <c r="TEQ16" t="s">
        <v>188</v>
      </c>
      <c r="TER16" t="s">
        <v>188</v>
      </c>
      <c r="TES16" t="s">
        <v>188</v>
      </c>
      <c r="TET16" t="s">
        <v>188</v>
      </c>
      <c r="TEU16" t="s">
        <v>188</v>
      </c>
      <c r="TEV16" t="s">
        <v>188</v>
      </c>
      <c r="TEW16" t="s">
        <v>188</v>
      </c>
      <c r="TEX16" t="s">
        <v>188</v>
      </c>
      <c r="TEY16" t="s">
        <v>188</v>
      </c>
      <c r="TEZ16" t="s">
        <v>188</v>
      </c>
      <c r="TFA16" t="s">
        <v>188</v>
      </c>
      <c r="TFB16" t="s">
        <v>188</v>
      </c>
      <c r="TFC16" t="s">
        <v>188</v>
      </c>
      <c r="TFD16" t="s">
        <v>188</v>
      </c>
      <c r="TFE16" t="s">
        <v>188</v>
      </c>
      <c r="TFF16" t="s">
        <v>188</v>
      </c>
      <c r="TFG16" t="s">
        <v>188</v>
      </c>
      <c r="TFH16" t="s">
        <v>188</v>
      </c>
      <c r="TFI16" t="s">
        <v>188</v>
      </c>
      <c r="TFJ16" t="s">
        <v>188</v>
      </c>
      <c r="TFK16" t="s">
        <v>188</v>
      </c>
      <c r="TFL16" t="s">
        <v>188</v>
      </c>
      <c r="TFM16" t="s">
        <v>188</v>
      </c>
      <c r="TFN16" t="s">
        <v>188</v>
      </c>
      <c r="TFO16" t="s">
        <v>188</v>
      </c>
      <c r="TFP16" t="s">
        <v>188</v>
      </c>
      <c r="TFQ16" t="s">
        <v>188</v>
      </c>
      <c r="TFR16" t="s">
        <v>188</v>
      </c>
      <c r="TFS16" t="s">
        <v>188</v>
      </c>
      <c r="TFT16" t="s">
        <v>188</v>
      </c>
      <c r="TFU16" t="s">
        <v>188</v>
      </c>
      <c r="TFV16" t="s">
        <v>188</v>
      </c>
      <c r="TFW16" t="s">
        <v>188</v>
      </c>
      <c r="TFX16" t="s">
        <v>188</v>
      </c>
      <c r="TFY16" t="s">
        <v>188</v>
      </c>
      <c r="TFZ16" t="s">
        <v>188</v>
      </c>
      <c r="TGA16" t="s">
        <v>188</v>
      </c>
      <c r="TGB16" t="s">
        <v>188</v>
      </c>
      <c r="TGC16" t="s">
        <v>188</v>
      </c>
      <c r="TGD16" t="s">
        <v>188</v>
      </c>
      <c r="TGE16" t="s">
        <v>188</v>
      </c>
      <c r="TGF16" t="s">
        <v>188</v>
      </c>
      <c r="TGG16" t="s">
        <v>188</v>
      </c>
      <c r="TGH16" t="s">
        <v>188</v>
      </c>
      <c r="TGI16" t="s">
        <v>188</v>
      </c>
      <c r="TGJ16" t="s">
        <v>188</v>
      </c>
      <c r="TGK16" t="s">
        <v>188</v>
      </c>
      <c r="TGL16" t="s">
        <v>188</v>
      </c>
      <c r="TGM16" t="s">
        <v>188</v>
      </c>
      <c r="TGN16" t="s">
        <v>188</v>
      </c>
      <c r="TGO16" t="s">
        <v>188</v>
      </c>
      <c r="TGP16" t="s">
        <v>188</v>
      </c>
      <c r="TGQ16" t="s">
        <v>188</v>
      </c>
      <c r="TGR16" t="s">
        <v>188</v>
      </c>
      <c r="TGS16" t="s">
        <v>188</v>
      </c>
      <c r="TGT16" t="s">
        <v>188</v>
      </c>
      <c r="TGU16" t="s">
        <v>188</v>
      </c>
      <c r="TGV16" t="s">
        <v>188</v>
      </c>
      <c r="TGW16" t="s">
        <v>188</v>
      </c>
      <c r="TGX16" t="s">
        <v>188</v>
      </c>
      <c r="TGY16" t="s">
        <v>188</v>
      </c>
      <c r="TGZ16" t="s">
        <v>188</v>
      </c>
      <c r="THA16" t="s">
        <v>188</v>
      </c>
      <c r="THB16" t="s">
        <v>188</v>
      </c>
      <c r="THC16" t="s">
        <v>188</v>
      </c>
      <c r="THD16" t="s">
        <v>188</v>
      </c>
      <c r="THE16" t="s">
        <v>188</v>
      </c>
      <c r="THF16" t="s">
        <v>188</v>
      </c>
      <c r="THG16" t="s">
        <v>188</v>
      </c>
      <c r="THH16" t="s">
        <v>188</v>
      </c>
      <c r="THI16" t="s">
        <v>188</v>
      </c>
      <c r="THJ16" t="s">
        <v>188</v>
      </c>
      <c r="THK16" t="s">
        <v>188</v>
      </c>
      <c r="THL16" t="s">
        <v>188</v>
      </c>
      <c r="THM16" t="s">
        <v>188</v>
      </c>
      <c r="THN16" t="s">
        <v>188</v>
      </c>
      <c r="THO16" t="s">
        <v>188</v>
      </c>
      <c r="THP16" t="s">
        <v>188</v>
      </c>
      <c r="THQ16" t="s">
        <v>188</v>
      </c>
      <c r="THR16" t="s">
        <v>188</v>
      </c>
      <c r="THS16" t="s">
        <v>188</v>
      </c>
      <c r="THT16" t="s">
        <v>188</v>
      </c>
      <c r="THU16" t="s">
        <v>188</v>
      </c>
      <c r="THV16" t="s">
        <v>188</v>
      </c>
      <c r="THW16" t="s">
        <v>188</v>
      </c>
      <c r="THX16" t="s">
        <v>188</v>
      </c>
      <c r="THY16" t="s">
        <v>188</v>
      </c>
      <c r="THZ16" t="s">
        <v>188</v>
      </c>
      <c r="TIA16" t="s">
        <v>188</v>
      </c>
      <c r="TIB16" t="s">
        <v>188</v>
      </c>
      <c r="TIC16" t="s">
        <v>188</v>
      </c>
      <c r="TID16" t="s">
        <v>188</v>
      </c>
      <c r="TIE16" t="s">
        <v>188</v>
      </c>
      <c r="TIF16" t="s">
        <v>188</v>
      </c>
      <c r="TIG16" t="s">
        <v>188</v>
      </c>
      <c r="TIH16" t="s">
        <v>188</v>
      </c>
      <c r="TII16" t="s">
        <v>188</v>
      </c>
      <c r="TIJ16" t="s">
        <v>188</v>
      </c>
      <c r="TIK16" t="s">
        <v>188</v>
      </c>
      <c r="TIL16" t="s">
        <v>188</v>
      </c>
      <c r="TIM16" t="s">
        <v>188</v>
      </c>
      <c r="TIN16" t="s">
        <v>188</v>
      </c>
      <c r="TIO16" t="s">
        <v>188</v>
      </c>
      <c r="TIP16" t="s">
        <v>188</v>
      </c>
      <c r="TIQ16" t="s">
        <v>188</v>
      </c>
      <c r="TIR16" t="s">
        <v>188</v>
      </c>
      <c r="TIS16" t="s">
        <v>188</v>
      </c>
      <c r="TIT16" t="s">
        <v>188</v>
      </c>
      <c r="TIU16" t="s">
        <v>188</v>
      </c>
      <c r="TIV16" t="s">
        <v>188</v>
      </c>
      <c r="TIW16" t="s">
        <v>188</v>
      </c>
      <c r="TIX16" t="s">
        <v>188</v>
      </c>
      <c r="TIY16" t="s">
        <v>188</v>
      </c>
      <c r="TIZ16" t="s">
        <v>188</v>
      </c>
      <c r="TJA16" t="s">
        <v>188</v>
      </c>
      <c r="TJB16" t="s">
        <v>188</v>
      </c>
      <c r="TJC16" t="s">
        <v>188</v>
      </c>
      <c r="TJD16" t="s">
        <v>188</v>
      </c>
      <c r="TJE16" t="s">
        <v>188</v>
      </c>
      <c r="TJF16" t="s">
        <v>188</v>
      </c>
      <c r="TJG16" t="s">
        <v>188</v>
      </c>
      <c r="TJH16" t="s">
        <v>188</v>
      </c>
      <c r="TJI16" t="s">
        <v>188</v>
      </c>
      <c r="TJJ16" t="s">
        <v>188</v>
      </c>
      <c r="TJK16" t="s">
        <v>188</v>
      </c>
      <c r="TJL16" t="s">
        <v>188</v>
      </c>
      <c r="TJM16" t="s">
        <v>188</v>
      </c>
      <c r="TJN16" t="s">
        <v>188</v>
      </c>
      <c r="TJO16" t="s">
        <v>188</v>
      </c>
      <c r="TJP16" t="s">
        <v>188</v>
      </c>
      <c r="TJQ16" t="s">
        <v>188</v>
      </c>
      <c r="TJR16" t="s">
        <v>188</v>
      </c>
      <c r="TJS16" t="s">
        <v>188</v>
      </c>
      <c r="TJT16" t="s">
        <v>188</v>
      </c>
      <c r="TJU16" t="s">
        <v>188</v>
      </c>
      <c r="TJV16" t="s">
        <v>188</v>
      </c>
      <c r="TJW16" t="s">
        <v>188</v>
      </c>
      <c r="TJX16" t="s">
        <v>188</v>
      </c>
      <c r="TJY16" t="s">
        <v>188</v>
      </c>
      <c r="TJZ16" t="s">
        <v>188</v>
      </c>
      <c r="TKA16" t="s">
        <v>188</v>
      </c>
      <c r="TKB16" t="s">
        <v>188</v>
      </c>
      <c r="TKC16" t="s">
        <v>188</v>
      </c>
      <c r="TKD16" t="s">
        <v>188</v>
      </c>
      <c r="TKE16" t="s">
        <v>188</v>
      </c>
      <c r="TKF16" t="s">
        <v>188</v>
      </c>
      <c r="TKG16" t="s">
        <v>188</v>
      </c>
      <c r="TKH16" t="s">
        <v>188</v>
      </c>
      <c r="TKI16" t="s">
        <v>188</v>
      </c>
      <c r="TKJ16" t="s">
        <v>188</v>
      </c>
      <c r="TKK16" t="s">
        <v>188</v>
      </c>
      <c r="TKL16" t="s">
        <v>188</v>
      </c>
      <c r="TKM16" t="s">
        <v>188</v>
      </c>
      <c r="TKN16" t="s">
        <v>188</v>
      </c>
      <c r="TKO16" t="s">
        <v>188</v>
      </c>
      <c r="TKP16" t="s">
        <v>188</v>
      </c>
      <c r="TKQ16" t="s">
        <v>188</v>
      </c>
      <c r="TKR16" t="s">
        <v>188</v>
      </c>
      <c r="TKS16" t="s">
        <v>188</v>
      </c>
      <c r="TKT16" t="s">
        <v>188</v>
      </c>
      <c r="TKU16" t="s">
        <v>188</v>
      </c>
      <c r="TKV16" t="s">
        <v>188</v>
      </c>
      <c r="TKW16" t="s">
        <v>188</v>
      </c>
      <c r="TKX16" t="s">
        <v>188</v>
      </c>
      <c r="TKY16" t="s">
        <v>188</v>
      </c>
      <c r="TKZ16" t="s">
        <v>188</v>
      </c>
      <c r="TLA16" t="s">
        <v>188</v>
      </c>
      <c r="TLB16" t="s">
        <v>188</v>
      </c>
      <c r="TLC16" t="s">
        <v>188</v>
      </c>
      <c r="TLD16" t="s">
        <v>188</v>
      </c>
      <c r="TLE16" t="s">
        <v>188</v>
      </c>
      <c r="TLF16" t="s">
        <v>188</v>
      </c>
      <c r="TLG16" t="s">
        <v>188</v>
      </c>
      <c r="TLH16" t="s">
        <v>188</v>
      </c>
      <c r="TLI16" t="s">
        <v>188</v>
      </c>
      <c r="TLJ16" t="s">
        <v>188</v>
      </c>
      <c r="TLK16" t="s">
        <v>188</v>
      </c>
      <c r="TLL16" t="s">
        <v>188</v>
      </c>
      <c r="TLM16" t="s">
        <v>188</v>
      </c>
      <c r="TLN16" t="s">
        <v>188</v>
      </c>
      <c r="TLO16" t="s">
        <v>188</v>
      </c>
      <c r="TLP16" t="s">
        <v>188</v>
      </c>
      <c r="TLQ16" t="s">
        <v>188</v>
      </c>
      <c r="TLR16" t="s">
        <v>188</v>
      </c>
      <c r="TLS16" t="s">
        <v>188</v>
      </c>
      <c r="TLT16" t="s">
        <v>188</v>
      </c>
      <c r="TLU16" t="s">
        <v>188</v>
      </c>
      <c r="TLV16" t="s">
        <v>188</v>
      </c>
      <c r="TLW16" t="s">
        <v>188</v>
      </c>
      <c r="TLX16" t="s">
        <v>188</v>
      </c>
      <c r="TLY16" t="s">
        <v>188</v>
      </c>
      <c r="TLZ16" t="s">
        <v>188</v>
      </c>
      <c r="TMA16" t="s">
        <v>188</v>
      </c>
      <c r="TMB16" t="s">
        <v>188</v>
      </c>
      <c r="TMC16" t="s">
        <v>188</v>
      </c>
      <c r="TMD16" t="s">
        <v>188</v>
      </c>
      <c r="TME16" t="s">
        <v>188</v>
      </c>
      <c r="TMF16" t="s">
        <v>188</v>
      </c>
      <c r="TMG16" t="s">
        <v>188</v>
      </c>
      <c r="TMH16" t="s">
        <v>188</v>
      </c>
      <c r="TMI16" t="s">
        <v>188</v>
      </c>
      <c r="TMJ16" t="s">
        <v>188</v>
      </c>
      <c r="TMK16" t="s">
        <v>188</v>
      </c>
      <c r="TML16" t="s">
        <v>188</v>
      </c>
      <c r="TMM16" t="s">
        <v>188</v>
      </c>
      <c r="TMN16" t="s">
        <v>188</v>
      </c>
      <c r="TMO16" t="s">
        <v>188</v>
      </c>
      <c r="TMP16" t="s">
        <v>188</v>
      </c>
      <c r="TMQ16" t="s">
        <v>188</v>
      </c>
      <c r="TMR16" t="s">
        <v>188</v>
      </c>
      <c r="TMS16" t="s">
        <v>188</v>
      </c>
      <c r="TMT16" t="s">
        <v>188</v>
      </c>
      <c r="TMU16" t="s">
        <v>188</v>
      </c>
      <c r="TMV16" t="s">
        <v>188</v>
      </c>
      <c r="TMW16" t="s">
        <v>188</v>
      </c>
      <c r="TMX16" t="s">
        <v>188</v>
      </c>
      <c r="TMY16" t="s">
        <v>188</v>
      </c>
      <c r="TMZ16" t="s">
        <v>188</v>
      </c>
      <c r="TNA16" t="s">
        <v>188</v>
      </c>
      <c r="TNB16" t="s">
        <v>188</v>
      </c>
      <c r="TNC16" t="s">
        <v>188</v>
      </c>
      <c r="TND16" t="s">
        <v>188</v>
      </c>
      <c r="TNE16" t="s">
        <v>188</v>
      </c>
      <c r="TNF16" t="s">
        <v>188</v>
      </c>
      <c r="TNG16" t="s">
        <v>188</v>
      </c>
      <c r="TNH16" t="s">
        <v>188</v>
      </c>
      <c r="TNI16" t="s">
        <v>188</v>
      </c>
      <c r="TNJ16" t="s">
        <v>188</v>
      </c>
      <c r="TNK16" t="s">
        <v>188</v>
      </c>
      <c r="TNL16" t="s">
        <v>188</v>
      </c>
      <c r="TNM16" t="s">
        <v>188</v>
      </c>
      <c r="TNN16" t="s">
        <v>188</v>
      </c>
      <c r="TNO16" t="s">
        <v>188</v>
      </c>
      <c r="TNP16" t="s">
        <v>188</v>
      </c>
      <c r="TNQ16" t="s">
        <v>188</v>
      </c>
      <c r="TNR16" t="s">
        <v>188</v>
      </c>
      <c r="TNS16" t="s">
        <v>188</v>
      </c>
      <c r="TNT16" t="s">
        <v>188</v>
      </c>
      <c r="TNU16" t="s">
        <v>188</v>
      </c>
      <c r="TNV16" t="s">
        <v>188</v>
      </c>
      <c r="TNW16" t="s">
        <v>188</v>
      </c>
      <c r="TNX16" t="s">
        <v>188</v>
      </c>
      <c r="TNY16" t="s">
        <v>188</v>
      </c>
      <c r="TNZ16" t="s">
        <v>188</v>
      </c>
      <c r="TOA16" t="s">
        <v>188</v>
      </c>
      <c r="TOB16" t="s">
        <v>188</v>
      </c>
      <c r="TOC16" t="s">
        <v>188</v>
      </c>
      <c r="TOD16" t="s">
        <v>188</v>
      </c>
      <c r="TOE16" t="s">
        <v>188</v>
      </c>
      <c r="TOF16" t="s">
        <v>188</v>
      </c>
      <c r="TOG16" t="s">
        <v>188</v>
      </c>
      <c r="TOH16" t="s">
        <v>188</v>
      </c>
      <c r="TOI16" t="s">
        <v>188</v>
      </c>
      <c r="TOJ16" t="s">
        <v>188</v>
      </c>
      <c r="TOK16" t="s">
        <v>188</v>
      </c>
      <c r="TOL16" t="s">
        <v>188</v>
      </c>
      <c r="TOM16" t="s">
        <v>188</v>
      </c>
      <c r="TON16" t="s">
        <v>188</v>
      </c>
      <c r="TOO16" t="s">
        <v>188</v>
      </c>
      <c r="TOP16" t="s">
        <v>188</v>
      </c>
      <c r="TOQ16" t="s">
        <v>188</v>
      </c>
      <c r="TOR16" t="s">
        <v>188</v>
      </c>
      <c r="TOS16" t="s">
        <v>188</v>
      </c>
      <c r="TOT16" t="s">
        <v>188</v>
      </c>
      <c r="TOU16" t="s">
        <v>188</v>
      </c>
      <c r="TOV16" t="s">
        <v>188</v>
      </c>
      <c r="TOW16" t="s">
        <v>188</v>
      </c>
      <c r="TOX16" t="s">
        <v>188</v>
      </c>
      <c r="TOY16" t="s">
        <v>188</v>
      </c>
      <c r="TOZ16" t="s">
        <v>188</v>
      </c>
      <c r="TPA16" t="s">
        <v>188</v>
      </c>
      <c r="TPB16" t="s">
        <v>188</v>
      </c>
      <c r="TPC16" t="s">
        <v>188</v>
      </c>
      <c r="TPD16" t="s">
        <v>188</v>
      </c>
      <c r="TPE16" t="s">
        <v>188</v>
      </c>
      <c r="TPF16" t="s">
        <v>188</v>
      </c>
      <c r="TPG16" t="s">
        <v>188</v>
      </c>
      <c r="TPH16" t="s">
        <v>188</v>
      </c>
      <c r="TPI16" t="s">
        <v>188</v>
      </c>
      <c r="TPJ16" t="s">
        <v>188</v>
      </c>
      <c r="TPK16" t="s">
        <v>188</v>
      </c>
      <c r="TPL16" t="s">
        <v>188</v>
      </c>
      <c r="TPM16" t="s">
        <v>188</v>
      </c>
      <c r="TPN16" t="s">
        <v>188</v>
      </c>
      <c r="TPO16" t="s">
        <v>188</v>
      </c>
      <c r="TPP16" t="s">
        <v>188</v>
      </c>
      <c r="TPQ16" t="s">
        <v>188</v>
      </c>
      <c r="TPR16" t="s">
        <v>188</v>
      </c>
      <c r="TPS16" t="s">
        <v>188</v>
      </c>
      <c r="TPT16" t="s">
        <v>188</v>
      </c>
      <c r="TPU16" t="s">
        <v>188</v>
      </c>
      <c r="TPV16" t="s">
        <v>188</v>
      </c>
      <c r="TPW16" t="s">
        <v>188</v>
      </c>
      <c r="TPX16" t="s">
        <v>188</v>
      </c>
      <c r="TPY16" t="s">
        <v>188</v>
      </c>
      <c r="TPZ16" t="s">
        <v>188</v>
      </c>
      <c r="TQA16" t="s">
        <v>188</v>
      </c>
      <c r="TQB16" t="s">
        <v>188</v>
      </c>
      <c r="TQC16" t="s">
        <v>188</v>
      </c>
      <c r="TQD16" t="s">
        <v>188</v>
      </c>
      <c r="TQE16" t="s">
        <v>188</v>
      </c>
      <c r="TQF16" t="s">
        <v>188</v>
      </c>
      <c r="TQG16" t="s">
        <v>188</v>
      </c>
      <c r="TQH16" t="s">
        <v>188</v>
      </c>
      <c r="TQI16" t="s">
        <v>188</v>
      </c>
      <c r="TQJ16" t="s">
        <v>188</v>
      </c>
      <c r="TQK16" t="s">
        <v>188</v>
      </c>
      <c r="TQL16" t="s">
        <v>188</v>
      </c>
      <c r="TQM16" t="s">
        <v>188</v>
      </c>
      <c r="TQN16" t="s">
        <v>188</v>
      </c>
      <c r="TQO16" t="s">
        <v>188</v>
      </c>
      <c r="TQP16" t="s">
        <v>188</v>
      </c>
      <c r="TQQ16" t="s">
        <v>188</v>
      </c>
      <c r="TQR16" t="s">
        <v>188</v>
      </c>
      <c r="TQS16" t="s">
        <v>188</v>
      </c>
      <c r="TQT16" t="s">
        <v>188</v>
      </c>
      <c r="TQU16" t="s">
        <v>188</v>
      </c>
      <c r="TQV16" t="s">
        <v>188</v>
      </c>
      <c r="TQW16" t="s">
        <v>188</v>
      </c>
      <c r="TQX16" t="s">
        <v>188</v>
      </c>
      <c r="TQY16" t="s">
        <v>188</v>
      </c>
      <c r="TQZ16" t="s">
        <v>188</v>
      </c>
      <c r="TRA16" t="s">
        <v>188</v>
      </c>
      <c r="TRB16" t="s">
        <v>188</v>
      </c>
      <c r="TRC16" t="s">
        <v>188</v>
      </c>
      <c r="TRD16" t="s">
        <v>188</v>
      </c>
      <c r="TRE16" t="s">
        <v>188</v>
      </c>
      <c r="TRF16" t="s">
        <v>188</v>
      </c>
      <c r="TRG16" t="s">
        <v>188</v>
      </c>
      <c r="TRH16" t="s">
        <v>188</v>
      </c>
      <c r="TRI16" t="s">
        <v>188</v>
      </c>
      <c r="TRJ16" t="s">
        <v>188</v>
      </c>
      <c r="TRK16" t="s">
        <v>188</v>
      </c>
      <c r="TRL16" t="s">
        <v>188</v>
      </c>
      <c r="TRM16" t="s">
        <v>188</v>
      </c>
      <c r="TRN16" t="s">
        <v>188</v>
      </c>
      <c r="TRO16" t="s">
        <v>188</v>
      </c>
      <c r="TRP16" t="s">
        <v>188</v>
      </c>
      <c r="TRQ16" t="s">
        <v>188</v>
      </c>
      <c r="TRR16" t="s">
        <v>188</v>
      </c>
      <c r="TRS16" t="s">
        <v>188</v>
      </c>
      <c r="TRT16" t="s">
        <v>188</v>
      </c>
      <c r="TRU16" t="s">
        <v>188</v>
      </c>
      <c r="TRV16" t="s">
        <v>188</v>
      </c>
      <c r="TRW16" t="s">
        <v>188</v>
      </c>
      <c r="TRX16" t="s">
        <v>188</v>
      </c>
      <c r="TRY16" t="s">
        <v>188</v>
      </c>
      <c r="TRZ16" t="s">
        <v>188</v>
      </c>
      <c r="TSA16" t="s">
        <v>188</v>
      </c>
      <c r="TSB16" t="s">
        <v>188</v>
      </c>
      <c r="TSC16" t="s">
        <v>188</v>
      </c>
      <c r="TSD16" t="s">
        <v>188</v>
      </c>
      <c r="TSE16" t="s">
        <v>188</v>
      </c>
      <c r="TSF16" t="s">
        <v>188</v>
      </c>
      <c r="TSG16" t="s">
        <v>188</v>
      </c>
      <c r="TSH16" t="s">
        <v>188</v>
      </c>
      <c r="TSI16" t="s">
        <v>188</v>
      </c>
      <c r="TSJ16" t="s">
        <v>188</v>
      </c>
      <c r="TSK16" t="s">
        <v>188</v>
      </c>
      <c r="TSL16" t="s">
        <v>188</v>
      </c>
      <c r="TSM16" t="s">
        <v>188</v>
      </c>
      <c r="TSN16" t="s">
        <v>188</v>
      </c>
      <c r="TSO16" t="s">
        <v>188</v>
      </c>
      <c r="TSP16" t="s">
        <v>188</v>
      </c>
      <c r="TSQ16" t="s">
        <v>188</v>
      </c>
      <c r="TSR16" t="s">
        <v>188</v>
      </c>
      <c r="TSS16" t="s">
        <v>188</v>
      </c>
      <c r="TST16" t="s">
        <v>188</v>
      </c>
      <c r="TSU16" t="s">
        <v>188</v>
      </c>
      <c r="TSV16" t="s">
        <v>188</v>
      </c>
      <c r="TSW16" t="s">
        <v>188</v>
      </c>
      <c r="TSX16" t="s">
        <v>188</v>
      </c>
      <c r="TSY16" t="s">
        <v>188</v>
      </c>
      <c r="TSZ16" t="s">
        <v>188</v>
      </c>
      <c r="TTA16" t="s">
        <v>188</v>
      </c>
      <c r="TTB16" t="s">
        <v>188</v>
      </c>
      <c r="TTC16" t="s">
        <v>188</v>
      </c>
      <c r="TTD16" t="s">
        <v>188</v>
      </c>
      <c r="TTE16" t="s">
        <v>188</v>
      </c>
      <c r="TTF16" t="s">
        <v>188</v>
      </c>
      <c r="TTG16" t="s">
        <v>188</v>
      </c>
      <c r="TTH16" t="s">
        <v>188</v>
      </c>
      <c r="TTI16" t="s">
        <v>188</v>
      </c>
      <c r="TTJ16" t="s">
        <v>188</v>
      </c>
      <c r="TTK16" t="s">
        <v>188</v>
      </c>
      <c r="TTL16" t="s">
        <v>188</v>
      </c>
      <c r="TTM16" t="s">
        <v>188</v>
      </c>
      <c r="TTN16" t="s">
        <v>188</v>
      </c>
      <c r="TTO16" t="s">
        <v>188</v>
      </c>
      <c r="TTP16" t="s">
        <v>188</v>
      </c>
      <c r="TTQ16" t="s">
        <v>188</v>
      </c>
      <c r="TTR16" t="s">
        <v>188</v>
      </c>
      <c r="TTS16" t="s">
        <v>188</v>
      </c>
      <c r="TTT16" t="s">
        <v>188</v>
      </c>
      <c r="TTU16" t="s">
        <v>188</v>
      </c>
      <c r="TTV16" t="s">
        <v>188</v>
      </c>
      <c r="TTW16" t="s">
        <v>188</v>
      </c>
      <c r="TTX16" t="s">
        <v>188</v>
      </c>
      <c r="TTY16" t="s">
        <v>188</v>
      </c>
      <c r="TTZ16" t="s">
        <v>188</v>
      </c>
      <c r="TUA16" t="s">
        <v>188</v>
      </c>
      <c r="TUB16" t="s">
        <v>188</v>
      </c>
      <c r="TUC16" t="s">
        <v>188</v>
      </c>
      <c r="TUD16" t="s">
        <v>188</v>
      </c>
      <c r="TUE16" t="s">
        <v>188</v>
      </c>
      <c r="TUF16" t="s">
        <v>188</v>
      </c>
      <c r="TUG16" t="s">
        <v>188</v>
      </c>
      <c r="TUH16" t="s">
        <v>188</v>
      </c>
      <c r="TUI16" t="s">
        <v>188</v>
      </c>
      <c r="TUJ16" t="s">
        <v>188</v>
      </c>
      <c r="TUK16" t="s">
        <v>188</v>
      </c>
      <c r="TUL16" t="s">
        <v>188</v>
      </c>
      <c r="TUM16" t="s">
        <v>188</v>
      </c>
      <c r="TUN16" t="s">
        <v>188</v>
      </c>
      <c r="TUO16" t="s">
        <v>188</v>
      </c>
      <c r="TUP16" t="s">
        <v>188</v>
      </c>
      <c r="TUQ16" t="s">
        <v>188</v>
      </c>
      <c r="TUR16" t="s">
        <v>188</v>
      </c>
      <c r="TUS16" t="s">
        <v>188</v>
      </c>
      <c r="TUT16" t="s">
        <v>188</v>
      </c>
      <c r="TUU16" t="s">
        <v>188</v>
      </c>
      <c r="TUV16" t="s">
        <v>188</v>
      </c>
      <c r="TUW16" t="s">
        <v>188</v>
      </c>
      <c r="TUX16" t="s">
        <v>188</v>
      </c>
      <c r="TUY16" t="s">
        <v>188</v>
      </c>
      <c r="TUZ16" t="s">
        <v>188</v>
      </c>
      <c r="TVA16" t="s">
        <v>188</v>
      </c>
      <c r="TVB16" t="s">
        <v>188</v>
      </c>
      <c r="TVC16" t="s">
        <v>188</v>
      </c>
      <c r="TVD16" t="s">
        <v>188</v>
      </c>
      <c r="TVE16" t="s">
        <v>188</v>
      </c>
      <c r="TVF16" t="s">
        <v>188</v>
      </c>
      <c r="TVG16" t="s">
        <v>188</v>
      </c>
      <c r="TVH16" t="s">
        <v>188</v>
      </c>
      <c r="TVI16" t="s">
        <v>188</v>
      </c>
      <c r="TVJ16" t="s">
        <v>188</v>
      </c>
      <c r="TVK16" t="s">
        <v>188</v>
      </c>
      <c r="TVL16" t="s">
        <v>188</v>
      </c>
      <c r="TVM16" t="s">
        <v>188</v>
      </c>
      <c r="TVN16" t="s">
        <v>188</v>
      </c>
      <c r="TVO16" t="s">
        <v>188</v>
      </c>
      <c r="TVP16" t="s">
        <v>188</v>
      </c>
      <c r="TVQ16" t="s">
        <v>188</v>
      </c>
      <c r="TVR16" t="s">
        <v>188</v>
      </c>
      <c r="TVS16" t="s">
        <v>188</v>
      </c>
      <c r="TVT16" t="s">
        <v>188</v>
      </c>
      <c r="TVU16" t="s">
        <v>188</v>
      </c>
      <c r="TVV16" t="s">
        <v>188</v>
      </c>
      <c r="TVW16" t="s">
        <v>188</v>
      </c>
      <c r="TVX16" t="s">
        <v>188</v>
      </c>
      <c r="TVY16" t="s">
        <v>188</v>
      </c>
      <c r="TVZ16" t="s">
        <v>188</v>
      </c>
      <c r="TWA16" t="s">
        <v>188</v>
      </c>
      <c r="TWB16" t="s">
        <v>188</v>
      </c>
      <c r="TWC16" t="s">
        <v>188</v>
      </c>
      <c r="TWD16" t="s">
        <v>188</v>
      </c>
      <c r="TWE16" t="s">
        <v>188</v>
      </c>
      <c r="TWF16" t="s">
        <v>188</v>
      </c>
      <c r="TWG16" t="s">
        <v>188</v>
      </c>
      <c r="TWH16" t="s">
        <v>188</v>
      </c>
      <c r="TWI16" t="s">
        <v>188</v>
      </c>
      <c r="TWJ16" t="s">
        <v>188</v>
      </c>
      <c r="TWK16" t="s">
        <v>188</v>
      </c>
      <c r="TWL16" t="s">
        <v>188</v>
      </c>
      <c r="TWM16" t="s">
        <v>188</v>
      </c>
      <c r="TWN16" t="s">
        <v>188</v>
      </c>
      <c r="TWO16" t="s">
        <v>188</v>
      </c>
      <c r="TWP16" t="s">
        <v>188</v>
      </c>
      <c r="TWQ16" t="s">
        <v>188</v>
      </c>
      <c r="TWR16" t="s">
        <v>188</v>
      </c>
      <c r="TWS16" t="s">
        <v>188</v>
      </c>
      <c r="TWT16" t="s">
        <v>188</v>
      </c>
      <c r="TWU16" t="s">
        <v>188</v>
      </c>
      <c r="TWV16" t="s">
        <v>188</v>
      </c>
      <c r="TWW16" t="s">
        <v>188</v>
      </c>
      <c r="TWX16" t="s">
        <v>188</v>
      </c>
      <c r="TWY16" t="s">
        <v>188</v>
      </c>
      <c r="TWZ16" t="s">
        <v>188</v>
      </c>
      <c r="TXA16" t="s">
        <v>188</v>
      </c>
      <c r="TXB16" t="s">
        <v>188</v>
      </c>
      <c r="TXC16" t="s">
        <v>188</v>
      </c>
      <c r="TXD16" t="s">
        <v>188</v>
      </c>
      <c r="TXE16" t="s">
        <v>188</v>
      </c>
      <c r="TXF16" t="s">
        <v>188</v>
      </c>
      <c r="TXG16" t="s">
        <v>188</v>
      </c>
      <c r="TXH16" t="s">
        <v>188</v>
      </c>
      <c r="TXI16" t="s">
        <v>188</v>
      </c>
      <c r="TXJ16" t="s">
        <v>188</v>
      </c>
      <c r="TXK16" t="s">
        <v>188</v>
      </c>
      <c r="TXL16" t="s">
        <v>188</v>
      </c>
      <c r="TXM16" t="s">
        <v>188</v>
      </c>
      <c r="TXN16" t="s">
        <v>188</v>
      </c>
      <c r="TXO16" t="s">
        <v>188</v>
      </c>
      <c r="TXP16" t="s">
        <v>188</v>
      </c>
      <c r="TXQ16" t="s">
        <v>188</v>
      </c>
      <c r="TXR16" t="s">
        <v>188</v>
      </c>
      <c r="TXS16" t="s">
        <v>188</v>
      </c>
      <c r="TXT16" t="s">
        <v>188</v>
      </c>
      <c r="TXU16" t="s">
        <v>188</v>
      </c>
      <c r="TXV16" t="s">
        <v>188</v>
      </c>
      <c r="TXW16" t="s">
        <v>188</v>
      </c>
      <c r="TXX16" t="s">
        <v>188</v>
      </c>
      <c r="TXY16" t="s">
        <v>188</v>
      </c>
      <c r="TXZ16" t="s">
        <v>188</v>
      </c>
      <c r="TYA16" t="s">
        <v>188</v>
      </c>
      <c r="TYB16" t="s">
        <v>188</v>
      </c>
      <c r="TYC16" t="s">
        <v>188</v>
      </c>
      <c r="TYD16" t="s">
        <v>188</v>
      </c>
      <c r="TYE16" t="s">
        <v>188</v>
      </c>
      <c r="TYF16" t="s">
        <v>188</v>
      </c>
      <c r="TYG16" t="s">
        <v>188</v>
      </c>
      <c r="TYH16" t="s">
        <v>188</v>
      </c>
      <c r="TYI16" t="s">
        <v>188</v>
      </c>
      <c r="TYJ16" t="s">
        <v>188</v>
      </c>
      <c r="TYK16" t="s">
        <v>188</v>
      </c>
      <c r="TYL16" t="s">
        <v>188</v>
      </c>
      <c r="TYM16" t="s">
        <v>188</v>
      </c>
      <c r="TYN16" t="s">
        <v>188</v>
      </c>
      <c r="TYO16" t="s">
        <v>188</v>
      </c>
      <c r="TYP16" t="s">
        <v>188</v>
      </c>
      <c r="TYQ16" t="s">
        <v>188</v>
      </c>
      <c r="TYR16" t="s">
        <v>188</v>
      </c>
      <c r="TYS16" t="s">
        <v>188</v>
      </c>
      <c r="TYT16" t="s">
        <v>188</v>
      </c>
      <c r="TYU16" t="s">
        <v>188</v>
      </c>
      <c r="TYV16" t="s">
        <v>188</v>
      </c>
      <c r="TYW16" t="s">
        <v>188</v>
      </c>
      <c r="TYX16" t="s">
        <v>188</v>
      </c>
      <c r="TYY16" t="s">
        <v>188</v>
      </c>
      <c r="TYZ16" t="s">
        <v>188</v>
      </c>
      <c r="TZA16" t="s">
        <v>188</v>
      </c>
      <c r="TZB16" t="s">
        <v>188</v>
      </c>
      <c r="TZC16" t="s">
        <v>188</v>
      </c>
      <c r="TZD16" t="s">
        <v>188</v>
      </c>
      <c r="TZE16" t="s">
        <v>188</v>
      </c>
      <c r="TZF16" t="s">
        <v>188</v>
      </c>
      <c r="TZG16" t="s">
        <v>188</v>
      </c>
      <c r="TZH16" t="s">
        <v>188</v>
      </c>
      <c r="TZI16" t="s">
        <v>188</v>
      </c>
      <c r="TZJ16" t="s">
        <v>188</v>
      </c>
      <c r="TZK16" t="s">
        <v>188</v>
      </c>
      <c r="TZL16" t="s">
        <v>188</v>
      </c>
      <c r="TZM16" t="s">
        <v>188</v>
      </c>
      <c r="TZN16" t="s">
        <v>188</v>
      </c>
      <c r="TZO16" t="s">
        <v>188</v>
      </c>
      <c r="TZP16" t="s">
        <v>188</v>
      </c>
      <c r="TZQ16" t="s">
        <v>188</v>
      </c>
      <c r="TZR16" t="s">
        <v>188</v>
      </c>
      <c r="TZS16" t="s">
        <v>188</v>
      </c>
      <c r="TZT16" t="s">
        <v>188</v>
      </c>
      <c r="TZU16" t="s">
        <v>188</v>
      </c>
      <c r="TZV16" t="s">
        <v>188</v>
      </c>
      <c r="TZW16" t="s">
        <v>188</v>
      </c>
      <c r="TZX16" t="s">
        <v>188</v>
      </c>
      <c r="TZY16" t="s">
        <v>188</v>
      </c>
      <c r="TZZ16" t="s">
        <v>188</v>
      </c>
      <c r="UAA16" t="s">
        <v>188</v>
      </c>
      <c r="UAB16" t="s">
        <v>188</v>
      </c>
      <c r="UAC16" t="s">
        <v>188</v>
      </c>
      <c r="UAD16" t="s">
        <v>188</v>
      </c>
      <c r="UAE16" t="s">
        <v>188</v>
      </c>
      <c r="UAF16" t="s">
        <v>188</v>
      </c>
      <c r="UAG16" t="s">
        <v>188</v>
      </c>
      <c r="UAH16" t="s">
        <v>188</v>
      </c>
      <c r="UAI16" t="s">
        <v>188</v>
      </c>
      <c r="UAJ16" t="s">
        <v>188</v>
      </c>
      <c r="UAK16" t="s">
        <v>188</v>
      </c>
      <c r="UAL16" t="s">
        <v>188</v>
      </c>
      <c r="UAM16" t="s">
        <v>188</v>
      </c>
      <c r="UAN16" t="s">
        <v>188</v>
      </c>
      <c r="UAO16" t="s">
        <v>188</v>
      </c>
      <c r="UAP16" t="s">
        <v>188</v>
      </c>
      <c r="UAQ16" t="s">
        <v>188</v>
      </c>
      <c r="UAR16" t="s">
        <v>188</v>
      </c>
      <c r="UAS16" t="s">
        <v>188</v>
      </c>
      <c r="UAT16" t="s">
        <v>188</v>
      </c>
      <c r="UAU16" t="s">
        <v>188</v>
      </c>
      <c r="UAV16" t="s">
        <v>188</v>
      </c>
      <c r="UAW16" t="s">
        <v>188</v>
      </c>
      <c r="UAX16" t="s">
        <v>188</v>
      </c>
      <c r="UAY16" t="s">
        <v>188</v>
      </c>
      <c r="UAZ16" t="s">
        <v>188</v>
      </c>
      <c r="UBA16" t="s">
        <v>188</v>
      </c>
      <c r="UBB16" t="s">
        <v>188</v>
      </c>
      <c r="UBC16" t="s">
        <v>188</v>
      </c>
      <c r="UBD16" t="s">
        <v>188</v>
      </c>
      <c r="UBE16" t="s">
        <v>188</v>
      </c>
      <c r="UBF16" t="s">
        <v>188</v>
      </c>
      <c r="UBG16" t="s">
        <v>188</v>
      </c>
      <c r="UBH16" t="s">
        <v>188</v>
      </c>
      <c r="UBI16" t="s">
        <v>188</v>
      </c>
      <c r="UBJ16" t="s">
        <v>188</v>
      </c>
      <c r="UBK16" t="s">
        <v>188</v>
      </c>
      <c r="UBL16" t="s">
        <v>188</v>
      </c>
      <c r="UBM16" t="s">
        <v>188</v>
      </c>
      <c r="UBN16" t="s">
        <v>188</v>
      </c>
      <c r="UBO16" t="s">
        <v>188</v>
      </c>
      <c r="UBP16" t="s">
        <v>188</v>
      </c>
      <c r="UBQ16" t="s">
        <v>188</v>
      </c>
      <c r="UBR16" t="s">
        <v>188</v>
      </c>
      <c r="UBS16" t="s">
        <v>188</v>
      </c>
      <c r="UBT16" t="s">
        <v>188</v>
      </c>
      <c r="UBU16" t="s">
        <v>188</v>
      </c>
      <c r="UBV16" t="s">
        <v>188</v>
      </c>
      <c r="UBW16" t="s">
        <v>188</v>
      </c>
      <c r="UBX16" t="s">
        <v>188</v>
      </c>
      <c r="UBY16" t="s">
        <v>188</v>
      </c>
      <c r="UBZ16" t="s">
        <v>188</v>
      </c>
      <c r="UCA16" t="s">
        <v>188</v>
      </c>
      <c r="UCB16" t="s">
        <v>188</v>
      </c>
      <c r="UCC16" t="s">
        <v>188</v>
      </c>
      <c r="UCD16" t="s">
        <v>188</v>
      </c>
      <c r="UCE16" t="s">
        <v>188</v>
      </c>
      <c r="UCF16" t="s">
        <v>188</v>
      </c>
      <c r="UCG16" t="s">
        <v>188</v>
      </c>
      <c r="UCH16" t="s">
        <v>188</v>
      </c>
      <c r="UCI16" t="s">
        <v>188</v>
      </c>
      <c r="UCJ16" t="s">
        <v>188</v>
      </c>
      <c r="UCK16" t="s">
        <v>188</v>
      </c>
      <c r="UCL16" t="s">
        <v>188</v>
      </c>
      <c r="UCM16" t="s">
        <v>188</v>
      </c>
      <c r="UCN16" t="s">
        <v>188</v>
      </c>
      <c r="UCO16" t="s">
        <v>188</v>
      </c>
      <c r="UCP16" t="s">
        <v>188</v>
      </c>
      <c r="UCQ16" t="s">
        <v>188</v>
      </c>
      <c r="UCR16" t="s">
        <v>188</v>
      </c>
      <c r="UCS16" t="s">
        <v>188</v>
      </c>
      <c r="UCT16" t="s">
        <v>188</v>
      </c>
      <c r="UCU16" t="s">
        <v>188</v>
      </c>
      <c r="UCV16" t="s">
        <v>188</v>
      </c>
      <c r="UCW16" t="s">
        <v>188</v>
      </c>
      <c r="UCX16" t="s">
        <v>188</v>
      </c>
      <c r="UCY16" t="s">
        <v>188</v>
      </c>
      <c r="UCZ16" t="s">
        <v>188</v>
      </c>
      <c r="UDA16" t="s">
        <v>188</v>
      </c>
      <c r="UDB16" t="s">
        <v>188</v>
      </c>
      <c r="UDC16" t="s">
        <v>188</v>
      </c>
      <c r="UDD16" t="s">
        <v>188</v>
      </c>
      <c r="UDE16" t="s">
        <v>188</v>
      </c>
      <c r="UDF16" t="s">
        <v>188</v>
      </c>
      <c r="UDG16" t="s">
        <v>188</v>
      </c>
      <c r="UDH16" t="s">
        <v>188</v>
      </c>
      <c r="UDI16" t="s">
        <v>188</v>
      </c>
      <c r="UDJ16" t="s">
        <v>188</v>
      </c>
      <c r="UDK16" t="s">
        <v>188</v>
      </c>
      <c r="UDL16" t="s">
        <v>188</v>
      </c>
      <c r="UDM16" t="s">
        <v>188</v>
      </c>
      <c r="UDN16" t="s">
        <v>188</v>
      </c>
      <c r="UDO16" t="s">
        <v>188</v>
      </c>
      <c r="UDP16" t="s">
        <v>188</v>
      </c>
      <c r="UDQ16" t="s">
        <v>188</v>
      </c>
      <c r="UDR16" t="s">
        <v>188</v>
      </c>
      <c r="UDS16" t="s">
        <v>188</v>
      </c>
      <c r="UDT16" t="s">
        <v>188</v>
      </c>
      <c r="UDU16" t="s">
        <v>188</v>
      </c>
      <c r="UDV16" t="s">
        <v>188</v>
      </c>
      <c r="UDW16" t="s">
        <v>188</v>
      </c>
      <c r="UDX16" t="s">
        <v>188</v>
      </c>
      <c r="UDY16" t="s">
        <v>188</v>
      </c>
      <c r="UDZ16" t="s">
        <v>188</v>
      </c>
      <c r="UEA16" t="s">
        <v>188</v>
      </c>
      <c r="UEB16" t="s">
        <v>188</v>
      </c>
      <c r="UEC16" t="s">
        <v>188</v>
      </c>
      <c r="UED16" t="s">
        <v>188</v>
      </c>
      <c r="UEE16" t="s">
        <v>188</v>
      </c>
      <c r="UEF16" t="s">
        <v>188</v>
      </c>
      <c r="UEG16" t="s">
        <v>188</v>
      </c>
      <c r="UEH16" t="s">
        <v>188</v>
      </c>
      <c r="UEI16" t="s">
        <v>188</v>
      </c>
      <c r="UEJ16" t="s">
        <v>188</v>
      </c>
      <c r="UEK16" t="s">
        <v>188</v>
      </c>
      <c r="UEL16" t="s">
        <v>188</v>
      </c>
      <c r="UEM16" t="s">
        <v>188</v>
      </c>
      <c r="UEN16" t="s">
        <v>188</v>
      </c>
      <c r="UEO16" t="s">
        <v>188</v>
      </c>
      <c r="UEP16" t="s">
        <v>188</v>
      </c>
      <c r="UEQ16" t="s">
        <v>188</v>
      </c>
      <c r="UER16" t="s">
        <v>188</v>
      </c>
      <c r="UES16" t="s">
        <v>188</v>
      </c>
      <c r="UET16" t="s">
        <v>188</v>
      </c>
      <c r="UEU16" t="s">
        <v>188</v>
      </c>
      <c r="UEV16" t="s">
        <v>188</v>
      </c>
      <c r="UEW16" t="s">
        <v>188</v>
      </c>
      <c r="UEX16" t="s">
        <v>188</v>
      </c>
      <c r="UEY16" t="s">
        <v>188</v>
      </c>
      <c r="UEZ16" t="s">
        <v>188</v>
      </c>
      <c r="UFA16" t="s">
        <v>188</v>
      </c>
      <c r="UFB16" t="s">
        <v>188</v>
      </c>
      <c r="UFC16" t="s">
        <v>188</v>
      </c>
      <c r="UFD16" t="s">
        <v>188</v>
      </c>
      <c r="UFE16" t="s">
        <v>188</v>
      </c>
      <c r="UFF16" t="s">
        <v>188</v>
      </c>
      <c r="UFG16" t="s">
        <v>188</v>
      </c>
      <c r="UFH16" t="s">
        <v>188</v>
      </c>
      <c r="UFI16" t="s">
        <v>188</v>
      </c>
      <c r="UFJ16" t="s">
        <v>188</v>
      </c>
      <c r="UFK16" t="s">
        <v>188</v>
      </c>
      <c r="UFL16" t="s">
        <v>188</v>
      </c>
      <c r="UFM16" t="s">
        <v>188</v>
      </c>
      <c r="UFN16" t="s">
        <v>188</v>
      </c>
      <c r="UFO16" t="s">
        <v>188</v>
      </c>
      <c r="UFP16" t="s">
        <v>188</v>
      </c>
      <c r="UFQ16" t="s">
        <v>188</v>
      </c>
      <c r="UFR16" t="s">
        <v>188</v>
      </c>
      <c r="UFS16" t="s">
        <v>188</v>
      </c>
      <c r="UFT16" t="s">
        <v>188</v>
      </c>
      <c r="UFU16" t="s">
        <v>188</v>
      </c>
      <c r="UFV16" t="s">
        <v>188</v>
      </c>
      <c r="UFW16" t="s">
        <v>188</v>
      </c>
      <c r="UFX16" t="s">
        <v>188</v>
      </c>
      <c r="UFY16" t="s">
        <v>188</v>
      </c>
      <c r="UFZ16" t="s">
        <v>188</v>
      </c>
      <c r="UGA16" t="s">
        <v>188</v>
      </c>
      <c r="UGB16" t="s">
        <v>188</v>
      </c>
      <c r="UGC16" t="s">
        <v>188</v>
      </c>
      <c r="UGD16" t="s">
        <v>188</v>
      </c>
      <c r="UGE16" t="s">
        <v>188</v>
      </c>
      <c r="UGF16" t="s">
        <v>188</v>
      </c>
      <c r="UGG16" t="s">
        <v>188</v>
      </c>
      <c r="UGH16" t="s">
        <v>188</v>
      </c>
      <c r="UGI16" t="s">
        <v>188</v>
      </c>
      <c r="UGJ16" t="s">
        <v>188</v>
      </c>
      <c r="UGK16" t="s">
        <v>188</v>
      </c>
      <c r="UGL16" t="s">
        <v>188</v>
      </c>
      <c r="UGM16" t="s">
        <v>188</v>
      </c>
      <c r="UGN16" t="s">
        <v>188</v>
      </c>
      <c r="UGO16" t="s">
        <v>188</v>
      </c>
      <c r="UGP16" t="s">
        <v>188</v>
      </c>
      <c r="UGQ16" t="s">
        <v>188</v>
      </c>
      <c r="UGR16" t="s">
        <v>188</v>
      </c>
      <c r="UGS16" t="s">
        <v>188</v>
      </c>
      <c r="UGT16" t="s">
        <v>188</v>
      </c>
      <c r="UGU16" t="s">
        <v>188</v>
      </c>
      <c r="UGV16" t="s">
        <v>188</v>
      </c>
      <c r="UGW16" t="s">
        <v>188</v>
      </c>
      <c r="UGX16" t="s">
        <v>188</v>
      </c>
      <c r="UGY16" t="s">
        <v>188</v>
      </c>
      <c r="UGZ16" t="s">
        <v>188</v>
      </c>
      <c r="UHA16" t="s">
        <v>188</v>
      </c>
      <c r="UHB16" t="s">
        <v>188</v>
      </c>
      <c r="UHC16" t="s">
        <v>188</v>
      </c>
      <c r="UHD16" t="s">
        <v>188</v>
      </c>
      <c r="UHE16" t="s">
        <v>188</v>
      </c>
      <c r="UHF16" t="s">
        <v>188</v>
      </c>
      <c r="UHG16" t="s">
        <v>188</v>
      </c>
      <c r="UHH16" t="s">
        <v>188</v>
      </c>
      <c r="UHI16" t="s">
        <v>188</v>
      </c>
      <c r="UHJ16" t="s">
        <v>188</v>
      </c>
      <c r="UHK16" t="s">
        <v>188</v>
      </c>
      <c r="UHL16" t="s">
        <v>188</v>
      </c>
      <c r="UHM16" t="s">
        <v>188</v>
      </c>
      <c r="UHN16" t="s">
        <v>188</v>
      </c>
      <c r="UHO16" t="s">
        <v>188</v>
      </c>
      <c r="UHP16" t="s">
        <v>188</v>
      </c>
      <c r="UHQ16" t="s">
        <v>188</v>
      </c>
      <c r="UHR16" t="s">
        <v>188</v>
      </c>
      <c r="UHS16" t="s">
        <v>188</v>
      </c>
      <c r="UHT16" t="s">
        <v>188</v>
      </c>
      <c r="UHU16" t="s">
        <v>188</v>
      </c>
      <c r="UHV16" t="s">
        <v>188</v>
      </c>
      <c r="UHW16" t="s">
        <v>188</v>
      </c>
      <c r="UHX16" t="s">
        <v>188</v>
      </c>
      <c r="UHY16" t="s">
        <v>188</v>
      </c>
      <c r="UHZ16" t="s">
        <v>188</v>
      </c>
      <c r="UIA16" t="s">
        <v>188</v>
      </c>
      <c r="UIB16" t="s">
        <v>188</v>
      </c>
      <c r="UIC16" t="s">
        <v>188</v>
      </c>
      <c r="UID16" t="s">
        <v>188</v>
      </c>
      <c r="UIE16" t="s">
        <v>188</v>
      </c>
      <c r="UIF16" t="s">
        <v>188</v>
      </c>
      <c r="UIG16" t="s">
        <v>188</v>
      </c>
      <c r="UIH16" t="s">
        <v>188</v>
      </c>
      <c r="UII16" t="s">
        <v>188</v>
      </c>
      <c r="UIJ16" t="s">
        <v>188</v>
      </c>
      <c r="UIK16" t="s">
        <v>188</v>
      </c>
      <c r="UIL16" t="s">
        <v>188</v>
      </c>
      <c r="UIM16" t="s">
        <v>188</v>
      </c>
      <c r="UIN16" t="s">
        <v>188</v>
      </c>
      <c r="UIO16" t="s">
        <v>188</v>
      </c>
      <c r="UIP16" t="s">
        <v>188</v>
      </c>
      <c r="UIQ16" t="s">
        <v>188</v>
      </c>
      <c r="UIR16" t="s">
        <v>188</v>
      </c>
      <c r="UIS16" t="s">
        <v>188</v>
      </c>
      <c r="UIT16" t="s">
        <v>188</v>
      </c>
      <c r="UIU16" t="s">
        <v>188</v>
      </c>
      <c r="UIV16" t="s">
        <v>188</v>
      </c>
      <c r="UIW16" t="s">
        <v>188</v>
      </c>
      <c r="UIX16" t="s">
        <v>188</v>
      </c>
      <c r="UIY16" t="s">
        <v>188</v>
      </c>
      <c r="UIZ16" t="s">
        <v>188</v>
      </c>
      <c r="UJA16" t="s">
        <v>188</v>
      </c>
      <c r="UJB16" t="s">
        <v>188</v>
      </c>
      <c r="UJC16" t="s">
        <v>188</v>
      </c>
      <c r="UJD16" t="s">
        <v>188</v>
      </c>
      <c r="UJE16" t="s">
        <v>188</v>
      </c>
      <c r="UJF16" t="s">
        <v>188</v>
      </c>
      <c r="UJG16" t="s">
        <v>188</v>
      </c>
      <c r="UJH16" t="s">
        <v>188</v>
      </c>
      <c r="UJI16" t="s">
        <v>188</v>
      </c>
      <c r="UJJ16" t="s">
        <v>188</v>
      </c>
      <c r="UJK16" t="s">
        <v>188</v>
      </c>
      <c r="UJL16" t="s">
        <v>188</v>
      </c>
      <c r="UJM16" t="s">
        <v>188</v>
      </c>
      <c r="UJN16" t="s">
        <v>188</v>
      </c>
      <c r="UJO16" t="s">
        <v>188</v>
      </c>
      <c r="UJP16" t="s">
        <v>188</v>
      </c>
      <c r="UJQ16" t="s">
        <v>188</v>
      </c>
      <c r="UJR16" t="s">
        <v>188</v>
      </c>
      <c r="UJS16" t="s">
        <v>188</v>
      </c>
      <c r="UJT16" t="s">
        <v>188</v>
      </c>
      <c r="UJU16" t="s">
        <v>188</v>
      </c>
      <c r="UJV16" t="s">
        <v>188</v>
      </c>
      <c r="UJW16" t="s">
        <v>188</v>
      </c>
      <c r="UJX16" t="s">
        <v>188</v>
      </c>
      <c r="UJY16" t="s">
        <v>188</v>
      </c>
      <c r="UJZ16" t="s">
        <v>188</v>
      </c>
      <c r="UKA16" t="s">
        <v>188</v>
      </c>
      <c r="UKB16" t="s">
        <v>188</v>
      </c>
      <c r="UKC16" t="s">
        <v>188</v>
      </c>
      <c r="UKD16" t="s">
        <v>188</v>
      </c>
      <c r="UKE16" t="s">
        <v>188</v>
      </c>
      <c r="UKF16" t="s">
        <v>188</v>
      </c>
      <c r="UKG16" t="s">
        <v>188</v>
      </c>
      <c r="UKH16" t="s">
        <v>188</v>
      </c>
      <c r="UKI16" t="s">
        <v>188</v>
      </c>
      <c r="UKJ16" t="s">
        <v>188</v>
      </c>
      <c r="UKK16" t="s">
        <v>188</v>
      </c>
      <c r="UKL16" t="s">
        <v>188</v>
      </c>
      <c r="UKM16" t="s">
        <v>188</v>
      </c>
      <c r="UKN16" t="s">
        <v>188</v>
      </c>
      <c r="UKO16" t="s">
        <v>188</v>
      </c>
      <c r="UKP16" t="s">
        <v>188</v>
      </c>
      <c r="UKQ16" t="s">
        <v>188</v>
      </c>
      <c r="UKR16" t="s">
        <v>188</v>
      </c>
      <c r="UKS16" t="s">
        <v>188</v>
      </c>
      <c r="UKT16" t="s">
        <v>188</v>
      </c>
      <c r="UKU16" t="s">
        <v>188</v>
      </c>
      <c r="UKV16" t="s">
        <v>188</v>
      </c>
      <c r="UKW16" t="s">
        <v>188</v>
      </c>
      <c r="UKX16" t="s">
        <v>188</v>
      </c>
      <c r="UKY16" t="s">
        <v>188</v>
      </c>
      <c r="UKZ16" t="s">
        <v>188</v>
      </c>
      <c r="ULA16" t="s">
        <v>188</v>
      </c>
      <c r="ULB16" t="s">
        <v>188</v>
      </c>
      <c r="ULC16" t="s">
        <v>188</v>
      </c>
      <c r="ULD16" t="s">
        <v>188</v>
      </c>
      <c r="ULE16" t="s">
        <v>188</v>
      </c>
      <c r="ULF16" t="s">
        <v>188</v>
      </c>
      <c r="ULG16" t="s">
        <v>188</v>
      </c>
      <c r="ULH16" t="s">
        <v>188</v>
      </c>
      <c r="ULI16" t="s">
        <v>188</v>
      </c>
      <c r="ULJ16" t="s">
        <v>188</v>
      </c>
      <c r="ULK16" t="s">
        <v>188</v>
      </c>
      <c r="ULL16" t="s">
        <v>188</v>
      </c>
      <c r="ULM16" t="s">
        <v>188</v>
      </c>
      <c r="ULN16" t="s">
        <v>188</v>
      </c>
      <c r="ULO16" t="s">
        <v>188</v>
      </c>
      <c r="ULP16" t="s">
        <v>188</v>
      </c>
      <c r="ULQ16" t="s">
        <v>188</v>
      </c>
      <c r="ULR16" t="s">
        <v>188</v>
      </c>
      <c r="ULS16" t="s">
        <v>188</v>
      </c>
      <c r="ULT16" t="s">
        <v>188</v>
      </c>
      <c r="ULU16" t="s">
        <v>188</v>
      </c>
      <c r="ULV16" t="s">
        <v>188</v>
      </c>
      <c r="ULW16" t="s">
        <v>188</v>
      </c>
      <c r="ULX16" t="s">
        <v>188</v>
      </c>
      <c r="ULY16" t="s">
        <v>188</v>
      </c>
      <c r="ULZ16" t="s">
        <v>188</v>
      </c>
      <c r="UMA16" t="s">
        <v>188</v>
      </c>
      <c r="UMB16" t="s">
        <v>188</v>
      </c>
      <c r="UMC16" t="s">
        <v>188</v>
      </c>
      <c r="UMD16" t="s">
        <v>188</v>
      </c>
      <c r="UME16" t="s">
        <v>188</v>
      </c>
      <c r="UMF16" t="s">
        <v>188</v>
      </c>
      <c r="UMG16" t="s">
        <v>188</v>
      </c>
      <c r="UMH16" t="s">
        <v>188</v>
      </c>
      <c r="UMI16" t="s">
        <v>188</v>
      </c>
      <c r="UMJ16" t="s">
        <v>188</v>
      </c>
      <c r="UMK16" t="s">
        <v>188</v>
      </c>
      <c r="UML16" t="s">
        <v>188</v>
      </c>
      <c r="UMM16" t="s">
        <v>188</v>
      </c>
      <c r="UMN16" t="s">
        <v>188</v>
      </c>
      <c r="UMO16" t="s">
        <v>188</v>
      </c>
      <c r="UMP16" t="s">
        <v>188</v>
      </c>
      <c r="UMQ16" t="s">
        <v>188</v>
      </c>
      <c r="UMR16" t="s">
        <v>188</v>
      </c>
      <c r="UMS16" t="s">
        <v>188</v>
      </c>
      <c r="UMT16" t="s">
        <v>188</v>
      </c>
      <c r="UMU16" t="s">
        <v>188</v>
      </c>
      <c r="UMV16" t="s">
        <v>188</v>
      </c>
      <c r="UMW16" t="s">
        <v>188</v>
      </c>
      <c r="UMX16" t="s">
        <v>188</v>
      </c>
      <c r="UMY16" t="s">
        <v>188</v>
      </c>
      <c r="UMZ16" t="s">
        <v>188</v>
      </c>
      <c r="UNA16" t="s">
        <v>188</v>
      </c>
      <c r="UNB16" t="s">
        <v>188</v>
      </c>
      <c r="UNC16" t="s">
        <v>188</v>
      </c>
      <c r="UND16" t="s">
        <v>188</v>
      </c>
      <c r="UNE16" t="s">
        <v>188</v>
      </c>
      <c r="UNF16" t="s">
        <v>188</v>
      </c>
      <c r="UNG16" t="s">
        <v>188</v>
      </c>
      <c r="UNH16" t="s">
        <v>188</v>
      </c>
      <c r="UNI16" t="s">
        <v>188</v>
      </c>
      <c r="UNJ16" t="s">
        <v>188</v>
      </c>
      <c r="UNK16" t="s">
        <v>188</v>
      </c>
      <c r="UNL16" t="s">
        <v>188</v>
      </c>
      <c r="UNM16" t="s">
        <v>188</v>
      </c>
      <c r="UNN16" t="s">
        <v>188</v>
      </c>
      <c r="UNO16" t="s">
        <v>188</v>
      </c>
      <c r="UNP16" t="s">
        <v>188</v>
      </c>
      <c r="UNQ16" t="s">
        <v>188</v>
      </c>
      <c r="UNR16" t="s">
        <v>188</v>
      </c>
      <c r="UNS16" t="s">
        <v>188</v>
      </c>
      <c r="UNT16" t="s">
        <v>188</v>
      </c>
      <c r="UNU16" t="s">
        <v>188</v>
      </c>
      <c r="UNV16" t="s">
        <v>188</v>
      </c>
      <c r="UNW16" t="s">
        <v>188</v>
      </c>
      <c r="UNX16" t="s">
        <v>188</v>
      </c>
      <c r="UNY16" t="s">
        <v>188</v>
      </c>
      <c r="UNZ16" t="s">
        <v>188</v>
      </c>
      <c r="UOA16" t="s">
        <v>188</v>
      </c>
      <c r="UOB16" t="s">
        <v>188</v>
      </c>
      <c r="UOC16" t="s">
        <v>188</v>
      </c>
      <c r="UOD16" t="s">
        <v>188</v>
      </c>
      <c r="UOE16" t="s">
        <v>188</v>
      </c>
      <c r="UOF16" t="s">
        <v>188</v>
      </c>
      <c r="UOG16" t="s">
        <v>188</v>
      </c>
      <c r="UOH16" t="s">
        <v>188</v>
      </c>
      <c r="UOI16" t="s">
        <v>188</v>
      </c>
      <c r="UOJ16" t="s">
        <v>188</v>
      </c>
      <c r="UOK16" t="s">
        <v>188</v>
      </c>
      <c r="UOL16" t="s">
        <v>188</v>
      </c>
      <c r="UOM16" t="s">
        <v>188</v>
      </c>
      <c r="UON16" t="s">
        <v>188</v>
      </c>
      <c r="UOO16" t="s">
        <v>188</v>
      </c>
      <c r="UOP16" t="s">
        <v>188</v>
      </c>
      <c r="UOQ16" t="s">
        <v>188</v>
      </c>
      <c r="UOR16" t="s">
        <v>188</v>
      </c>
      <c r="UOS16" t="s">
        <v>188</v>
      </c>
      <c r="UOT16" t="s">
        <v>188</v>
      </c>
      <c r="UOU16" t="s">
        <v>188</v>
      </c>
      <c r="UOV16" t="s">
        <v>188</v>
      </c>
      <c r="UOW16" t="s">
        <v>188</v>
      </c>
      <c r="UOX16" t="s">
        <v>188</v>
      </c>
      <c r="UOY16" t="s">
        <v>188</v>
      </c>
      <c r="UOZ16" t="s">
        <v>188</v>
      </c>
      <c r="UPA16" t="s">
        <v>188</v>
      </c>
      <c r="UPB16" t="s">
        <v>188</v>
      </c>
      <c r="UPC16" t="s">
        <v>188</v>
      </c>
      <c r="UPD16" t="s">
        <v>188</v>
      </c>
      <c r="UPE16" t="s">
        <v>188</v>
      </c>
      <c r="UPF16" t="s">
        <v>188</v>
      </c>
      <c r="UPG16" t="s">
        <v>188</v>
      </c>
      <c r="UPH16" t="s">
        <v>188</v>
      </c>
      <c r="UPI16" t="s">
        <v>188</v>
      </c>
      <c r="UPJ16" t="s">
        <v>188</v>
      </c>
      <c r="UPK16" t="s">
        <v>188</v>
      </c>
      <c r="UPL16" t="s">
        <v>188</v>
      </c>
      <c r="UPM16" t="s">
        <v>188</v>
      </c>
      <c r="UPN16" t="s">
        <v>188</v>
      </c>
      <c r="UPO16" t="s">
        <v>188</v>
      </c>
      <c r="UPP16" t="s">
        <v>188</v>
      </c>
      <c r="UPQ16" t="s">
        <v>188</v>
      </c>
      <c r="UPR16" t="s">
        <v>188</v>
      </c>
      <c r="UPS16" t="s">
        <v>188</v>
      </c>
      <c r="UPT16" t="s">
        <v>188</v>
      </c>
      <c r="UPU16" t="s">
        <v>188</v>
      </c>
      <c r="UPV16" t="s">
        <v>188</v>
      </c>
      <c r="UPW16" t="s">
        <v>188</v>
      </c>
      <c r="UPX16" t="s">
        <v>188</v>
      </c>
      <c r="UPY16" t="s">
        <v>188</v>
      </c>
      <c r="UPZ16" t="s">
        <v>188</v>
      </c>
      <c r="UQA16" t="s">
        <v>188</v>
      </c>
      <c r="UQB16" t="s">
        <v>188</v>
      </c>
      <c r="UQC16" t="s">
        <v>188</v>
      </c>
      <c r="UQD16" t="s">
        <v>188</v>
      </c>
      <c r="UQE16" t="s">
        <v>188</v>
      </c>
      <c r="UQF16" t="s">
        <v>188</v>
      </c>
      <c r="UQG16" t="s">
        <v>188</v>
      </c>
      <c r="UQH16" t="s">
        <v>188</v>
      </c>
      <c r="UQI16" t="s">
        <v>188</v>
      </c>
      <c r="UQJ16" t="s">
        <v>188</v>
      </c>
      <c r="UQK16" t="s">
        <v>188</v>
      </c>
      <c r="UQL16" t="s">
        <v>188</v>
      </c>
      <c r="UQM16" t="s">
        <v>188</v>
      </c>
      <c r="UQN16" t="s">
        <v>188</v>
      </c>
      <c r="UQO16" t="s">
        <v>188</v>
      </c>
      <c r="UQP16" t="s">
        <v>188</v>
      </c>
      <c r="UQQ16" t="s">
        <v>188</v>
      </c>
      <c r="UQR16" t="s">
        <v>188</v>
      </c>
      <c r="UQS16" t="s">
        <v>188</v>
      </c>
      <c r="UQT16" t="s">
        <v>188</v>
      </c>
      <c r="UQU16" t="s">
        <v>188</v>
      </c>
      <c r="UQV16" t="s">
        <v>188</v>
      </c>
      <c r="UQW16" t="s">
        <v>188</v>
      </c>
      <c r="UQX16" t="s">
        <v>188</v>
      </c>
      <c r="UQY16" t="s">
        <v>188</v>
      </c>
      <c r="UQZ16" t="s">
        <v>188</v>
      </c>
      <c r="URA16" t="s">
        <v>188</v>
      </c>
      <c r="URB16" t="s">
        <v>188</v>
      </c>
      <c r="URC16" t="s">
        <v>188</v>
      </c>
      <c r="URD16" t="s">
        <v>188</v>
      </c>
      <c r="URE16" t="s">
        <v>188</v>
      </c>
      <c r="URF16" t="s">
        <v>188</v>
      </c>
      <c r="URG16" t="s">
        <v>188</v>
      </c>
      <c r="URH16" t="s">
        <v>188</v>
      </c>
      <c r="URI16" t="s">
        <v>188</v>
      </c>
      <c r="URJ16" t="s">
        <v>188</v>
      </c>
      <c r="URK16" t="s">
        <v>188</v>
      </c>
      <c r="URL16" t="s">
        <v>188</v>
      </c>
      <c r="URM16" t="s">
        <v>188</v>
      </c>
      <c r="URN16" t="s">
        <v>188</v>
      </c>
      <c r="URO16" t="s">
        <v>188</v>
      </c>
      <c r="URP16" t="s">
        <v>188</v>
      </c>
      <c r="URQ16" t="s">
        <v>188</v>
      </c>
      <c r="URR16" t="s">
        <v>188</v>
      </c>
      <c r="URS16" t="s">
        <v>188</v>
      </c>
      <c r="URT16" t="s">
        <v>188</v>
      </c>
      <c r="URU16" t="s">
        <v>188</v>
      </c>
      <c r="URV16" t="s">
        <v>188</v>
      </c>
      <c r="URW16" t="s">
        <v>188</v>
      </c>
      <c r="URX16" t="s">
        <v>188</v>
      </c>
      <c r="URY16" t="s">
        <v>188</v>
      </c>
      <c r="URZ16" t="s">
        <v>188</v>
      </c>
      <c r="USA16" t="s">
        <v>188</v>
      </c>
      <c r="USB16" t="s">
        <v>188</v>
      </c>
      <c r="USC16" t="s">
        <v>188</v>
      </c>
      <c r="USD16" t="s">
        <v>188</v>
      </c>
      <c r="USE16" t="s">
        <v>188</v>
      </c>
      <c r="USF16" t="s">
        <v>188</v>
      </c>
      <c r="USG16" t="s">
        <v>188</v>
      </c>
      <c r="USH16" t="s">
        <v>188</v>
      </c>
      <c r="USI16" t="s">
        <v>188</v>
      </c>
      <c r="USJ16" t="s">
        <v>188</v>
      </c>
      <c r="USK16" t="s">
        <v>188</v>
      </c>
      <c r="USL16" t="s">
        <v>188</v>
      </c>
      <c r="USM16" t="s">
        <v>188</v>
      </c>
      <c r="USN16" t="s">
        <v>188</v>
      </c>
      <c r="USO16" t="s">
        <v>188</v>
      </c>
      <c r="USP16" t="s">
        <v>188</v>
      </c>
      <c r="USQ16" t="s">
        <v>188</v>
      </c>
      <c r="USR16" t="s">
        <v>188</v>
      </c>
      <c r="USS16" t="s">
        <v>188</v>
      </c>
      <c r="UST16" t="s">
        <v>188</v>
      </c>
      <c r="USU16" t="s">
        <v>188</v>
      </c>
      <c r="USV16" t="s">
        <v>188</v>
      </c>
      <c r="USW16" t="s">
        <v>188</v>
      </c>
      <c r="USX16" t="s">
        <v>188</v>
      </c>
      <c r="USY16" t="s">
        <v>188</v>
      </c>
      <c r="USZ16" t="s">
        <v>188</v>
      </c>
      <c r="UTA16" t="s">
        <v>188</v>
      </c>
      <c r="UTB16" t="s">
        <v>188</v>
      </c>
      <c r="UTC16" t="s">
        <v>188</v>
      </c>
      <c r="UTD16" t="s">
        <v>188</v>
      </c>
      <c r="UTE16" t="s">
        <v>188</v>
      </c>
      <c r="UTF16" t="s">
        <v>188</v>
      </c>
      <c r="UTG16" t="s">
        <v>188</v>
      </c>
      <c r="UTH16" t="s">
        <v>188</v>
      </c>
      <c r="UTI16" t="s">
        <v>188</v>
      </c>
      <c r="UTJ16" t="s">
        <v>188</v>
      </c>
      <c r="UTK16" t="s">
        <v>188</v>
      </c>
      <c r="UTL16" t="s">
        <v>188</v>
      </c>
      <c r="UTM16" t="s">
        <v>188</v>
      </c>
      <c r="UTN16" t="s">
        <v>188</v>
      </c>
      <c r="UTO16" t="s">
        <v>188</v>
      </c>
      <c r="UTP16" t="s">
        <v>188</v>
      </c>
      <c r="UTQ16" t="s">
        <v>188</v>
      </c>
      <c r="UTR16" t="s">
        <v>188</v>
      </c>
      <c r="UTS16" t="s">
        <v>188</v>
      </c>
      <c r="UTT16" t="s">
        <v>188</v>
      </c>
      <c r="UTU16" t="s">
        <v>188</v>
      </c>
      <c r="UTV16" t="s">
        <v>188</v>
      </c>
      <c r="UTW16" t="s">
        <v>188</v>
      </c>
      <c r="UTX16" t="s">
        <v>188</v>
      </c>
      <c r="UTY16" t="s">
        <v>188</v>
      </c>
      <c r="UTZ16" t="s">
        <v>188</v>
      </c>
      <c r="UUA16" t="s">
        <v>188</v>
      </c>
      <c r="UUB16" t="s">
        <v>188</v>
      </c>
      <c r="UUC16" t="s">
        <v>188</v>
      </c>
      <c r="UUD16" t="s">
        <v>188</v>
      </c>
      <c r="UUE16" t="s">
        <v>188</v>
      </c>
      <c r="UUF16" t="s">
        <v>188</v>
      </c>
      <c r="UUG16" t="s">
        <v>188</v>
      </c>
      <c r="UUH16" t="s">
        <v>188</v>
      </c>
      <c r="UUI16" t="s">
        <v>188</v>
      </c>
      <c r="UUJ16" t="s">
        <v>188</v>
      </c>
      <c r="UUK16" t="s">
        <v>188</v>
      </c>
      <c r="UUL16" t="s">
        <v>188</v>
      </c>
      <c r="UUM16" t="s">
        <v>188</v>
      </c>
      <c r="UUN16" t="s">
        <v>188</v>
      </c>
      <c r="UUO16" t="s">
        <v>188</v>
      </c>
      <c r="UUP16" t="s">
        <v>188</v>
      </c>
      <c r="UUQ16" t="s">
        <v>188</v>
      </c>
      <c r="UUR16" t="s">
        <v>188</v>
      </c>
      <c r="UUS16" t="s">
        <v>188</v>
      </c>
      <c r="UUT16" t="s">
        <v>188</v>
      </c>
      <c r="UUU16" t="s">
        <v>188</v>
      </c>
      <c r="UUV16" t="s">
        <v>188</v>
      </c>
      <c r="UUW16" t="s">
        <v>188</v>
      </c>
      <c r="UUX16" t="s">
        <v>188</v>
      </c>
      <c r="UUY16" t="s">
        <v>188</v>
      </c>
      <c r="UUZ16" t="s">
        <v>188</v>
      </c>
      <c r="UVA16" t="s">
        <v>188</v>
      </c>
      <c r="UVB16" t="s">
        <v>188</v>
      </c>
      <c r="UVC16" t="s">
        <v>188</v>
      </c>
      <c r="UVD16" t="s">
        <v>188</v>
      </c>
      <c r="UVE16" t="s">
        <v>188</v>
      </c>
      <c r="UVF16" t="s">
        <v>188</v>
      </c>
      <c r="UVG16" t="s">
        <v>188</v>
      </c>
      <c r="UVH16" t="s">
        <v>188</v>
      </c>
      <c r="UVI16" t="s">
        <v>188</v>
      </c>
      <c r="UVJ16" t="s">
        <v>188</v>
      </c>
      <c r="UVK16" t="s">
        <v>188</v>
      </c>
      <c r="UVL16" t="s">
        <v>188</v>
      </c>
      <c r="UVM16" t="s">
        <v>188</v>
      </c>
      <c r="UVN16" t="s">
        <v>188</v>
      </c>
      <c r="UVO16" t="s">
        <v>188</v>
      </c>
      <c r="UVP16" t="s">
        <v>188</v>
      </c>
      <c r="UVQ16" t="s">
        <v>188</v>
      </c>
      <c r="UVR16" t="s">
        <v>188</v>
      </c>
      <c r="UVS16" t="s">
        <v>188</v>
      </c>
      <c r="UVT16" t="s">
        <v>188</v>
      </c>
      <c r="UVU16" t="s">
        <v>188</v>
      </c>
      <c r="UVV16" t="s">
        <v>188</v>
      </c>
      <c r="UVW16" t="s">
        <v>188</v>
      </c>
      <c r="UVX16" t="s">
        <v>188</v>
      </c>
      <c r="UVY16" t="s">
        <v>188</v>
      </c>
      <c r="UVZ16" t="s">
        <v>188</v>
      </c>
      <c r="UWA16" t="s">
        <v>188</v>
      </c>
      <c r="UWB16" t="s">
        <v>188</v>
      </c>
      <c r="UWC16" t="s">
        <v>188</v>
      </c>
      <c r="UWD16" t="s">
        <v>188</v>
      </c>
      <c r="UWE16" t="s">
        <v>188</v>
      </c>
      <c r="UWF16" t="s">
        <v>188</v>
      </c>
      <c r="UWG16" t="s">
        <v>188</v>
      </c>
      <c r="UWH16" t="s">
        <v>188</v>
      </c>
      <c r="UWI16" t="s">
        <v>188</v>
      </c>
      <c r="UWJ16" t="s">
        <v>188</v>
      </c>
      <c r="UWK16" t="s">
        <v>188</v>
      </c>
      <c r="UWL16" t="s">
        <v>188</v>
      </c>
      <c r="UWM16" t="s">
        <v>188</v>
      </c>
      <c r="UWN16" t="s">
        <v>188</v>
      </c>
      <c r="UWO16" t="s">
        <v>188</v>
      </c>
      <c r="UWP16" t="s">
        <v>188</v>
      </c>
      <c r="UWQ16" t="s">
        <v>188</v>
      </c>
      <c r="UWR16" t="s">
        <v>188</v>
      </c>
      <c r="UWS16" t="s">
        <v>188</v>
      </c>
      <c r="UWT16" t="s">
        <v>188</v>
      </c>
      <c r="UWU16" t="s">
        <v>188</v>
      </c>
      <c r="UWV16" t="s">
        <v>188</v>
      </c>
      <c r="UWW16" t="s">
        <v>188</v>
      </c>
      <c r="UWX16" t="s">
        <v>188</v>
      </c>
      <c r="UWY16" t="s">
        <v>188</v>
      </c>
      <c r="UWZ16" t="s">
        <v>188</v>
      </c>
      <c r="UXA16" t="s">
        <v>188</v>
      </c>
      <c r="UXB16" t="s">
        <v>188</v>
      </c>
      <c r="UXC16" t="s">
        <v>188</v>
      </c>
      <c r="UXD16" t="s">
        <v>188</v>
      </c>
      <c r="UXE16" t="s">
        <v>188</v>
      </c>
      <c r="UXF16" t="s">
        <v>188</v>
      </c>
      <c r="UXG16" t="s">
        <v>188</v>
      </c>
      <c r="UXH16" t="s">
        <v>188</v>
      </c>
      <c r="UXI16" t="s">
        <v>188</v>
      </c>
      <c r="UXJ16" t="s">
        <v>188</v>
      </c>
      <c r="UXK16" t="s">
        <v>188</v>
      </c>
      <c r="UXL16" t="s">
        <v>188</v>
      </c>
      <c r="UXM16" t="s">
        <v>188</v>
      </c>
      <c r="UXN16" t="s">
        <v>188</v>
      </c>
      <c r="UXO16" t="s">
        <v>188</v>
      </c>
      <c r="UXP16" t="s">
        <v>188</v>
      </c>
      <c r="UXQ16" t="s">
        <v>188</v>
      </c>
      <c r="UXR16" t="s">
        <v>188</v>
      </c>
      <c r="UXS16" t="s">
        <v>188</v>
      </c>
      <c r="UXT16" t="s">
        <v>188</v>
      </c>
      <c r="UXU16" t="s">
        <v>188</v>
      </c>
      <c r="UXV16" t="s">
        <v>188</v>
      </c>
      <c r="UXW16" t="s">
        <v>188</v>
      </c>
      <c r="UXX16" t="s">
        <v>188</v>
      </c>
      <c r="UXY16" t="s">
        <v>188</v>
      </c>
      <c r="UXZ16" t="s">
        <v>188</v>
      </c>
      <c r="UYA16" t="s">
        <v>188</v>
      </c>
      <c r="UYB16" t="s">
        <v>188</v>
      </c>
      <c r="UYC16" t="s">
        <v>188</v>
      </c>
      <c r="UYD16" t="s">
        <v>188</v>
      </c>
      <c r="UYE16" t="s">
        <v>188</v>
      </c>
      <c r="UYF16" t="s">
        <v>188</v>
      </c>
      <c r="UYG16" t="s">
        <v>188</v>
      </c>
      <c r="UYH16" t="s">
        <v>188</v>
      </c>
      <c r="UYI16" t="s">
        <v>188</v>
      </c>
      <c r="UYJ16" t="s">
        <v>188</v>
      </c>
      <c r="UYK16" t="s">
        <v>188</v>
      </c>
      <c r="UYL16" t="s">
        <v>188</v>
      </c>
      <c r="UYM16" t="s">
        <v>188</v>
      </c>
      <c r="UYN16" t="s">
        <v>188</v>
      </c>
      <c r="UYO16" t="s">
        <v>188</v>
      </c>
      <c r="UYP16" t="s">
        <v>188</v>
      </c>
      <c r="UYQ16" t="s">
        <v>188</v>
      </c>
      <c r="UYR16" t="s">
        <v>188</v>
      </c>
      <c r="UYS16" t="s">
        <v>188</v>
      </c>
      <c r="UYT16" t="s">
        <v>188</v>
      </c>
      <c r="UYU16" t="s">
        <v>188</v>
      </c>
      <c r="UYV16" t="s">
        <v>188</v>
      </c>
      <c r="UYW16" t="s">
        <v>188</v>
      </c>
      <c r="UYX16" t="s">
        <v>188</v>
      </c>
      <c r="UYY16" t="s">
        <v>188</v>
      </c>
      <c r="UYZ16" t="s">
        <v>188</v>
      </c>
      <c r="UZA16" t="s">
        <v>188</v>
      </c>
      <c r="UZB16" t="s">
        <v>188</v>
      </c>
      <c r="UZC16" t="s">
        <v>188</v>
      </c>
      <c r="UZD16" t="s">
        <v>188</v>
      </c>
      <c r="UZE16" t="s">
        <v>188</v>
      </c>
      <c r="UZF16" t="s">
        <v>188</v>
      </c>
      <c r="UZG16" t="s">
        <v>188</v>
      </c>
      <c r="UZH16" t="s">
        <v>188</v>
      </c>
      <c r="UZI16" t="s">
        <v>188</v>
      </c>
      <c r="UZJ16" t="s">
        <v>188</v>
      </c>
      <c r="UZK16" t="s">
        <v>188</v>
      </c>
      <c r="UZL16" t="s">
        <v>188</v>
      </c>
      <c r="UZM16" t="s">
        <v>188</v>
      </c>
      <c r="UZN16" t="s">
        <v>188</v>
      </c>
      <c r="UZO16" t="s">
        <v>188</v>
      </c>
      <c r="UZP16" t="s">
        <v>188</v>
      </c>
      <c r="UZQ16" t="s">
        <v>188</v>
      </c>
      <c r="UZR16" t="s">
        <v>188</v>
      </c>
      <c r="UZS16" t="s">
        <v>188</v>
      </c>
      <c r="UZT16" t="s">
        <v>188</v>
      </c>
      <c r="UZU16" t="s">
        <v>188</v>
      </c>
      <c r="UZV16" t="s">
        <v>188</v>
      </c>
      <c r="UZW16" t="s">
        <v>188</v>
      </c>
      <c r="UZX16" t="s">
        <v>188</v>
      </c>
      <c r="UZY16" t="s">
        <v>188</v>
      </c>
      <c r="UZZ16" t="s">
        <v>188</v>
      </c>
      <c r="VAA16" t="s">
        <v>188</v>
      </c>
      <c r="VAB16" t="s">
        <v>188</v>
      </c>
      <c r="VAC16" t="s">
        <v>188</v>
      </c>
      <c r="VAD16" t="s">
        <v>188</v>
      </c>
      <c r="VAE16" t="s">
        <v>188</v>
      </c>
      <c r="VAF16" t="s">
        <v>188</v>
      </c>
      <c r="VAG16" t="s">
        <v>188</v>
      </c>
      <c r="VAH16" t="s">
        <v>188</v>
      </c>
      <c r="VAI16" t="s">
        <v>188</v>
      </c>
      <c r="VAJ16" t="s">
        <v>188</v>
      </c>
      <c r="VAK16" t="s">
        <v>188</v>
      </c>
      <c r="VAL16" t="s">
        <v>188</v>
      </c>
      <c r="VAM16" t="s">
        <v>188</v>
      </c>
      <c r="VAN16" t="s">
        <v>188</v>
      </c>
      <c r="VAO16" t="s">
        <v>188</v>
      </c>
      <c r="VAP16" t="s">
        <v>188</v>
      </c>
      <c r="VAQ16" t="s">
        <v>188</v>
      </c>
      <c r="VAR16" t="s">
        <v>188</v>
      </c>
      <c r="VAS16" t="s">
        <v>188</v>
      </c>
      <c r="VAT16" t="s">
        <v>188</v>
      </c>
      <c r="VAU16" t="s">
        <v>188</v>
      </c>
      <c r="VAV16" t="s">
        <v>188</v>
      </c>
      <c r="VAW16" t="s">
        <v>188</v>
      </c>
      <c r="VAX16" t="s">
        <v>188</v>
      </c>
      <c r="VAY16" t="s">
        <v>188</v>
      </c>
      <c r="VAZ16" t="s">
        <v>188</v>
      </c>
      <c r="VBA16" t="s">
        <v>188</v>
      </c>
      <c r="VBB16" t="s">
        <v>188</v>
      </c>
      <c r="VBC16" t="s">
        <v>188</v>
      </c>
      <c r="VBD16" t="s">
        <v>188</v>
      </c>
      <c r="VBE16" t="s">
        <v>188</v>
      </c>
      <c r="VBF16" t="s">
        <v>188</v>
      </c>
      <c r="VBG16" t="s">
        <v>188</v>
      </c>
      <c r="VBH16" t="s">
        <v>188</v>
      </c>
      <c r="VBI16" t="s">
        <v>188</v>
      </c>
      <c r="VBJ16" t="s">
        <v>188</v>
      </c>
      <c r="VBK16" t="s">
        <v>188</v>
      </c>
      <c r="VBL16" t="s">
        <v>188</v>
      </c>
      <c r="VBM16" t="s">
        <v>188</v>
      </c>
      <c r="VBN16" t="s">
        <v>188</v>
      </c>
      <c r="VBO16" t="s">
        <v>188</v>
      </c>
      <c r="VBP16" t="s">
        <v>188</v>
      </c>
      <c r="VBQ16" t="s">
        <v>188</v>
      </c>
      <c r="VBR16" t="s">
        <v>188</v>
      </c>
      <c r="VBS16" t="s">
        <v>188</v>
      </c>
      <c r="VBT16" t="s">
        <v>188</v>
      </c>
      <c r="VBU16" t="s">
        <v>188</v>
      </c>
      <c r="VBV16" t="s">
        <v>188</v>
      </c>
      <c r="VBW16" t="s">
        <v>188</v>
      </c>
      <c r="VBX16" t="s">
        <v>188</v>
      </c>
      <c r="VBY16" t="s">
        <v>188</v>
      </c>
      <c r="VBZ16" t="s">
        <v>188</v>
      </c>
      <c r="VCA16" t="s">
        <v>188</v>
      </c>
      <c r="VCB16" t="s">
        <v>188</v>
      </c>
      <c r="VCC16" t="s">
        <v>188</v>
      </c>
      <c r="VCD16" t="s">
        <v>188</v>
      </c>
      <c r="VCE16" t="s">
        <v>188</v>
      </c>
      <c r="VCF16" t="s">
        <v>188</v>
      </c>
      <c r="VCG16" t="s">
        <v>188</v>
      </c>
      <c r="VCH16" t="s">
        <v>188</v>
      </c>
      <c r="VCI16" t="s">
        <v>188</v>
      </c>
      <c r="VCJ16" t="s">
        <v>188</v>
      </c>
      <c r="VCK16" t="s">
        <v>188</v>
      </c>
      <c r="VCL16" t="s">
        <v>188</v>
      </c>
      <c r="VCM16" t="s">
        <v>188</v>
      </c>
      <c r="VCN16" t="s">
        <v>188</v>
      </c>
      <c r="VCO16" t="s">
        <v>188</v>
      </c>
      <c r="VCP16" t="s">
        <v>188</v>
      </c>
      <c r="VCQ16" t="s">
        <v>188</v>
      </c>
      <c r="VCR16" t="s">
        <v>188</v>
      </c>
      <c r="VCS16" t="s">
        <v>188</v>
      </c>
      <c r="VCT16" t="s">
        <v>188</v>
      </c>
      <c r="VCU16" t="s">
        <v>188</v>
      </c>
      <c r="VCV16" t="s">
        <v>188</v>
      </c>
      <c r="VCW16" t="s">
        <v>188</v>
      </c>
      <c r="VCX16" t="s">
        <v>188</v>
      </c>
      <c r="VCY16" t="s">
        <v>188</v>
      </c>
      <c r="VCZ16" t="s">
        <v>188</v>
      </c>
      <c r="VDA16" t="s">
        <v>188</v>
      </c>
      <c r="VDB16" t="s">
        <v>188</v>
      </c>
      <c r="VDC16" t="s">
        <v>188</v>
      </c>
      <c r="VDD16" t="s">
        <v>188</v>
      </c>
      <c r="VDE16" t="s">
        <v>188</v>
      </c>
      <c r="VDF16" t="s">
        <v>188</v>
      </c>
      <c r="VDG16" t="s">
        <v>188</v>
      </c>
      <c r="VDH16" t="s">
        <v>188</v>
      </c>
      <c r="VDI16" t="s">
        <v>188</v>
      </c>
      <c r="VDJ16" t="s">
        <v>188</v>
      </c>
      <c r="VDK16" t="s">
        <v>188</v>
      </c>
      <c r="VDL16" t="s">
        <v>188</v>
      </c>
      <c r="VDM16" t="s">
        <v>188</v>
      </c>
      <c r="VDN16" t="s">
        <v>188</v>
      </c>
      <c r="VDO16" t="s">
        <v>188</v>
      </c>
      <c r="VDP16" t="s">
        <v>188</v>
      </c>
      <c r="VDQ16" t="s">
        <v>188</v>
      </c>
      <c r="VDR16" t="s">
        <v>188</v>
      </c>
      <c r="VDS16" t="s">
        <v>188</v>
      </c>
      <c r="VDT16" t="s">
        <v>188</v>
      </c>
      <c r="VDU16" t="s">
        <v>188</v>
      </c>
      <c r="VDV16" t="s">
        <v>188</v>
      </c>
      <c r="VDW16" t="s">
        <v>188</v>
      </c>
      <c r="VDX16" t="s">
        <v>188</v>
      </c>
      <c r="VDY16" t="s">
        <v>188</v>
      </c>
      <c r="VDZ16" t="s">
        <v>188</v>
      </c>
      <c r="VEA16" t="s">
        <v>188</v>
      </c>
      <c r="VEB16" t="s">
        <v>188</v>
      </c>
      <c r="VEC16" t="s">
        <v>188</v>
      </c>
      <c r="VED16" t="s">
        <v>188</v>
      </c>
      <c r="VEE16" t="s">
        <v>188</v>
      </c>
      <c r="VEF16" t="s">
        <v>188</v>
      </c>
      <c r="VEG16" t="s">
        <v>188</v>
      </c>
      <c r="VEH16" t="s">
        <v>188</v>
      </c>
      <c r="VEI16" t="s">
        <v>188</v>
      </c>
      <c r="VEJ16" t="s">
        <v>188</v>
      </c>
      <c r="VEK16" t="s">
        <v>188</v>
      </c>
      <c r="VEL16" t="s">
        <v>188</v>
      </c>
      <c r="VEM16" t="s">
        <v>188</v>
      </c>
      <c r="VEN16" t="s">
        <v>188</v>
      </c>
      <c r="VEO16" t="s">
        <v>188</v>
      </c>
      <c r="VEP16" t="s">
        <v>188</v>
      </c>
      <c r="VEQ16" t="s">
        <v>188</v>
      </c>
      <c r="VER16" t="s">
        <v>188</v>
      </c>
      <c r="VES16" t="s">
        <v>188</v>
      </c>
      <c r="VET16" t="s">
        <v>188</v>
      </c>
      <c r="VEU16" t="s">
        <v>188</v>
      </c>
      <c r="VEV16" t="s">
        <v>188</v>
      </c>
      <c r="VEW16" t="s">
        <v>188</v>
      </c>
      <c r="VEX16" t="s">
        <v>188</v>
      </c>
      <c r="VEY16" t="s">
        <v>188</v>
      </c>
      <c r="VEZ16" t="s">
        <v>188</v>
      </c>
      <c r="VFA16" t="s">
        <v>188</v>
      </c>
      <c r="VFB16" t="s">
        <v>188</v>
      </c>
      <c r="VFC16" t="s">
        <v>188</v>
      </c>
      <c r="VFD16" t="s">
        <v>188</v>
      </c>
      <c r="VFE16" t="s">
        <v>188</v>
      </c>
      <c r="VFF16" t="s">
        <v>188</v>
      </c>
      <c r="VFG16" t="s">
        <v>188</v>
      </c>
      <c r="VFH16" t="s">
        <v>188</v>
      </c>
      <c r="VFI16" t="s">
        <v>188</v>
      </c>
      <c r="VFJ16" t="s">
        <v>188</v>
      </c>
      <c r="VFK16" t="s">
        <v>188</v>
      </c>
      <c r="VFL16" t="s">
        <v>188</v>
      </c>
      <c r="VFM16" t="s">
        <v>188</v>
      </c>
      <c r="VFN16" t="s">
        <v>188</v>
      </c>
      <c r="VFO16" t="s">
        <v>188</v>
      </c>
      <c r="VFP16" t="s">
        <v>188</v>
      </c>
      <c r="VFQ16" t="s">
        <v>188</v>
      </c>
      <c r="VFR16" t="s">
        <v>188</v>
      </c>
      <c r="VFS16" t="s">
        <v>188</v>
      </c>
      <c r="VFT16" t="s">
        <v>188</v>
      </c>
      <c r="VFU16" t="s">
        <v>188</v>
      </c>
      <c r="VFV16" t="s">
        <v>188</v>
      </c>
      <c r="VFW16" t="s">
        <v>188</v>
      </c>
      <c r="VFX16" t="s">
        <v>188</v>
      </c>
      <c r="VFY16" t="s">
        <v>188</v>
      </c>
      <c r="VFZ16" t="s">
        <v>188</v>
      </c>
      <c r="VGA16" t="s">
        <v>188</v>
      </c>
      <c r="VGB16" t="s">
        <v>188</v>
      </c>
      <c r="VGC16" t="s">
        <v>188</v>
      </c>
      <c r="VGD16" t="s">
        <v>188</v>
      </c>
      <c r="VGE16" t="s">
        <v>188</v>
      </c>
      <c r="VGF16" t="s">
        <v>188</v>
      </c>
      <c r="VGG16" t="s">
        <v>188</v>
      </c>
      <c r="VGH16" t="s">
        <v>188</v>
      </c>
      <c r="VGI16" t="s">
        <v>188</v>
      </c>
      <c r="VGJ16" t="s">
        <v>188</v>
      </c>
      <c r="VGK16" t="s">
        <v>188</v>
      </c>
      <c r="VGL16" t="s">
        <v>188</v>
      </c>
      <c r="VGM16" t="s">
        <v>188</v>
      </c>
      <c r="VGN16" t="s">
        <v>188</v>
      </c>
      <c r="VGO16" t="s">
        <v>188</v>
      </c>
      <c r="VGP16" t="s">
        <v>188</v>
      </c>
      <c r="VGQ16" t="s">
        <v>188</v>
      </c>
      <c r="VGR16" t="s">
        <v>188</v>
      </c>
      <c r="VGS16" t="s">
        <v>188</v>
      </c>
      <c r="VGT16" t="s">
        <v>188</v>
      </c>
      <c r="VGU16" t="s">
        <v>188</v>
      </c>
      <c r="VGV16" t="s">
        <v>188</v>
      </c>
      <c r="VGW16" t="s">
        <v>188</v>
      </c>
      <c r="VGX16" t="s">
        <v>188</v>
      </c>
      <c r="VGY16" t="s">
        <v>188</v>
      </c>
      <c r="VGZ16" t="s">
        <v>188</v>
      </c>
      <c r="VHA16" t="s">
        <v>188</v>
      </c>
      <c r="VHB16" t="s">
        <v>188</v>
      </c>
      <c r="VHC16" t="s">
        <v>188</v>
      </c>
      <c r="VHD16" t="s">
        <v>188</v>
      </c>
      <c r="VHE16" t="s">
        <v>188</v>
      </c>
      <c r="VHF16" t="s">
        <v>188</v>
      </c>
      <c r="VHG16" t="s">
        <v>188</v>
      </c>
      <c r="VHH16" t="s">
        <v>188</v>
      </c>
      <c r="VHI16" t="s">
        <v>188</v>
      </c>
      <c r="VHJ16" t="s">
        <v>188</v>
      </c>
      <c r="VHK16" t="s">
        <v>188</v>
      </c>
      <c r="VHL16" t="s">
        <v>188</v>
      </c>
      <c r="VHM16" t="s">
        <v>188</v>
      </c>
      <c r="VHN16" t="s">
        <v>188</v>
      </c>
      <c r="VHO16" t="s">
        <v>188</v>
      </c>
      <c r="VHP16" t="s">
        <v>188</v>
      </c>
      <c r="VHQ16" t="s">
        <v>188</v>
      </c>
      <c r="VHR16" t="s">
        <v>188</v>
      </c>
      <c r="VHS16" t="s">
        <v>188</v>
      </c>
      <c r="VHT16" t="s">
        <v>188</v>
      </c>
      <c r="VHU16" t="s">
        <v>188</v>
      </c>
      <c r="VHV16" t="s">
        <v>188</v>
      </c>
      <c r="VHW16" t="s">
        <v>188</v>
      </c>
      <c r="VHX16" t="s">
        <v>188</v>
      </c>
      <c r="VHY16" t="s">
        <v>188</v>
      </c>
      <c r="VHZ16" t="s">
        <v>188</v>
      </c>
      <c r="VIA16" t="s">
        <v>188</v>
      </c>
      <c r="VIB16" t="s">
        <v>188</v>
      </c>
      <c r="VIC16" t="s">
        <v>188</v>
      </c>
      <c r="VID16" t="s">
        <v>188</v>
      </c>
      <c r="VIE16" t="s">
        <v>188</v>
      </c>
      <c r="VIF16" t="s">
        <v>188</v>
      </c>
      <c r="VIG16" t="s">
        <v>188</v>
      </c>
      <c r="VIH16" t="s">
        <v>188</v>
      </c>
      <c r="VII16" t="s">
        <v>188</v>
      </c>
      <c r="VIJ16" t="s">
        <v>188</v>
      </c>
      <c r="VIK16" t="s">
        <v>188</v>
      </c>
      <c r="VIL16" t="s">
        <v>188</v>
      </c>
      <c r="VIM16" t="s">
        <v>188</v>
      </c>
      <c r="VIN16" t="s">
        <v>188</v>
      </c>
      <c r="VIO16" t="s">
        <v>188</v>
      </c>
      <c r="VIP16" t="s">
        <v>188</v>
      </c>
      <c r="VIQ16" t="s">
        <v>188</v>
      </c>
      <c r="VIR16" t="s">
        <v>188</v>
      </c>
      <c r="VIS16" t="s">
        <v>188</v>
      </c>
      <c r="VIT16" t="s">
        <v>188</v>
      </c>
      <c r="VIU16" t="s">
        <v>188</v>
      </c>
      <c r="VIV16" t="s">
        <v>188</v>
      </c>
      <c r="VIW16" t="s">
        <v>188</v>
      </c>
      <c r="VIX16" t="s">
        <v>188</v>
      </c>
      <c r="VIY16" t="s">
        <v>188</v>
      </c>
      <c r="VIZ16" t="s">
        <v>188</v>
      </c>
      <c r="VJA16" t="s">
        <v>188</v>
      </c>
      <c r="VJB16" t="s">
        <v>188</v>
      </c>
      <c r="VJC16" t="s">
        <v>188</v>
      </c>
      <c r="VJD16" t="s">
        <v>188</v>
      </c>
      <c r="VJE16" t="s">
        <v>188</v>
      </c>
      <c r="VJF16" t="s">
        <v>188</v>
      </c>
      <c r="VJG16" t="s">
        <v>188</v>
      </c>
      <c r="VJH16" t="s">
        <v>188</v>
      </c>
      <c r="VJI16" t="s">
        <v>188</v>
      </c>
      <c r="VJJ16" t="s">
        <v>188</v>
      </c>
      <c r="VJK16" t="s">
        <v>188</v>
      </c>
      <c r="VJL16" t="s">
        <v>188</v>
      </c>
      <c r="VJM16" t="s">
        <v>188</v>
      </c>
      <c r="VJN16" t="s">
        <v>188</v>
      </c>
      <c r="VJO16" t="s">
        <v>188</v>
      </c>
      <c r="VJP16" t="s">
        <v>188</v>
      </c>
      <c r="VJQ16" t="s">
        <v>188</v>
      </c>
      <c r="VJR16" t="s">
        <v>188</v>
      </c>
      <c r="VJS16" t="s">
        <v>188</v>
      </c>
      <c r="VJT16" t="s">
        <v>188</v>
      </c>
      <c r="VJU16" t="s">
        <v>188</v>
      </c>
      <c r="VJV16" t="s">
        <v>188</v>
      </c>
      <c r="VJW16" t="s">
        <v>188</v>
      </c>
      <c r="VJX16" t="s">
        <v>188</v>
      </c>
      <c r="VJY16" t="s">
        <v>188</v>
      </c>
      <c r="VJZ16" t="s">
        <v>188</v>
      </c>
      <c r="VKA16" t="s">
        <v>188</v>
      </c>
      <c r="VKB16" t="s">
        <v>188</v>
      </c>
      <c r="VKC16" t="s">
        <v>188</v>
      </c>
      <c r="VKD16" t="s">
        <v>188</v>
      </c>
      <c r="VKE16" t="s">
        <v>188</v>
      </c>
      <c r="VKF16" t="s">
        <v>188</v>
      </c>
      <c r="VKG16" t="s">
        <v>188</v>
      </c>
      <c r="VKH16" t="s">
        <v>188</v>
      </c>
      <c r="VKI16" t="s">
        <v>188</v>
      </c>
      <c r="VKJ16" t="s">
        <v>188</v>
      </c>
      <c r="VKK16" t="s">
        <v>188</v>
      </c>
      <c r="VKL16" t="s">
        <v>188</v>
      </c>
      <c r="VKM16" t="s">
        <v>188</v>
      </c>
      <c r="VKN16" t="s">
        <v>188</v>
      </c>
      <c r="VKO16" t="s">
        <v>188</v>
      </c>
      <c r="VKP16" t="s">
        <v>188</v>
      </c>
      <c r="VKQ16" t="s">
        <v>188</v>
      </c>
      <c r="VKR16" t="s">
        <v>188</v>
      </c>
      <c r="VKS16" t="s">
        <v>188</v>
      </c>
      <c r="VKT16" t="s">
        <v>188</v>
      </c>
      <c r="VKU16" t="s">
        <v>188</v>
      </c>
      <c r="VKV16" t="s">
        <v>188</v>
      </c>
      <c r="VKW16" t="s">
        <v>188</v>
      </c>
      <c r="VKX16" t="s">
        <v>188</v>
      </c>
      <c r="VKY16" t="s">
        <v>188</v>
      </c>
      <c r="VKZ16" t="s">
        <v>188</v>
      </c>
      <c r="VLA16" t="s">
        <v>188</v>
      </c>
      <c r="VLB16" t="s">
        <v>188</v>
      </c>
      <c r="VLC16" t="s">
        <v>188</v>
      </c>
      <c r="VLD16" t="s">
        <v>188</v>
      </c>
      <c r="VLE16" t="s">
        <v>188</v>
      </c>
      <c r="VLF16" t="s">
        <v>188</v>
      </c>
      <c r="VLG16" t="s">
        <v>188</v>
      </c>
      <c r="VLH16" t="s">
        <v>188</v>
      </c>
      <c r="VLI16" t="s">
        <v>188</v>
      </c>
      <c r="VLJ16" t="s">
        <v>188</v>
      </c>
      <c r="VLK16" t="s">
        <v>188</v>
      </c>
      <c r="VLL16" t="s">
        <v>188</v>
      </c>
      <c r="VLM16" t="s">
        <v>188</v>
      </c>
      <c r="VLN16" t="s">
        <v>188</v>
      </c>
      <c r="VLO16" t="s">
        <v>188</v>
      </c>
      <c r="VLP16" t="s">
        <v>188</v>
      </c>
      <c r="VLQ16" t="s">
        <v>188</v>
      </c>
      <c r="VLR16" t="s">
        <v>188</v>
      </c>
      <c r="VLS16" t="s">
        <v>188</v>
      </c>
      <c r="VLT16" t="s">
        <v>188</v>
      </c>
      <c r="VLU16" t="s">
        <v>188</v>
      </c>
      <c r="VLV16" t="s">
        <v>188</v>
      </c>
      <c r="VLW16" t="s">
        <v>188</v>
      </c>
      <c r="VLX16" t="s">
        <v>188</v>
      </c>
      <c r="VLY16" t="s">
        <v>188</v>
      </c>
      <c r="VLZ16" t="s">
        <v>188</v>
      </c>
      <c r="VMA16" t="s">
        <v>188</v>
      </c>
      <c r="VMB16" t="s">
        <v>188</v>
      </c>
      <c r="VMC16" t="s">
        <v>188</v>
      </c>
      <c r="VMD16" t="s">
        <v>188</v>
      </c>
      <c r="VME16" t="s">
        <v>188</v>
      </c>
      <c r="VMF16" t="s">
        <v>188</v>
      </c>
      <c r="VMG16" t="s">
        <v>188</v>
      </c>
      <c r="VMH16" t="s">
        <v>188</v>
      </c>
      <c r="VMI16" t="s">
        <v>188</v>
      </c>
      <c r="VMJ16" t="s">
        <v>188</v>
      </c>
      <c r="VMK16" t="s">
        <v>188</v>
      </c>
      <c r="VML16" t="s">
        <v>188</v>
      </c>
      <c r="VMM16" t="s">
        <v>188</v>
      </c>
      <c r="VMN16" t="s">
        <v>188</v>
      </c>
      <c r="VMO16" t="s">
        <v>188</v>
      </c>
      <c r="VMP16" t="s">
        <v>188</v>
      </c>
      <c r="VMQ16" t="s">
        <v>188</v>
      </c>
      <c r="VMR16" t="s">
        <v>188</v>
      </c>
      <c r="VMS16" t="s">
        <v>188</v>
      </c>
      <c r="VMT16" t="s">
        <v>188</v>
      </c>
      <c r="VMU16" t="s">
        <v>188</v>
      </c>
      <c r="VMV16" t="s">
        <v>188</v>
      </c>
      <c r="VMW16" t="s">
        <v>188</v>
      </c>
      <c r="VMX16" t="s">
        <v>188</v>
      </c>
      <c r="VMY16" t="s">
        <v>188</v>
      </c>
      <c r="VMZ16" t="s">
        <v>188</v>
      </c>
      <c r="VNA16" t="s">
        <v>188</v>
      </c>
      <c r="VNB16" t="s">
        <v>188</v>
      </c>
      <c r="VNC16" t="s">
        <v>188</v>
      </c>
      <c r="VND16" t="s">
        <v>188</v>
      </c>
      <c r="VNE16" t="s">
        <v>188</v>
      </c>
      <c r="VNF16" t="s">
        <v>188</v>
      </c>
      <c r="VNG16" t="s">
        <v>188</v>
      </c>
      <c r="VNH16" t="s">
        <v>188</v>
      </c>
      <c r="VNI16" t="s">
        <v>188</v>
      </c>
      <c r="VNJ16" t="s">
        <v>188</v>
      </c>
      <c r="VNK16" t="s">
        <v>188</v>
      </c>
      <c r="VNL16" t="s">
        <v>188</v>
      </c>
      <c r="VNM16" t="s">
        <v>188</v>
      </c>
      <c r="VNN16" t="s">
        <v>188</v>
      </c>
      <c r="VNO16" t="s">
        <v>188</v>
      </c>
      <c r="VNP16" t="s">
        <v>188</v>
      </c>
      <c r="VNQ16" t="s">
        <v>188</v>
      </c>
      <c r="VNR16" t="s">
        <v>188</v>
      </c>
      <c r="VNS16" t="s">
        <v>188</v>
      </c>
      <c r="VNT16" t="s">
        <v>188</v>
      </c>
      <c r="VNU16" t="s">
        <v>188</v>
      </c>
      <c r="VNV16" t="s">
        <v>188</v>
      </c>
      <c r="VNW16" t="s">
        <v>188</v>
      </c>
      <c r="VNX16" t="s">
        <v>188</v>
      </c>
      <c r="VNY16" t="s">
        <v>188</v>
      </c>
      <c r="VNZ16" t="s">
        <v>188</v>
      </c>
      <c r="VOA16" t="s">
        <v>188</v>
      </c>
      <c r="VOB16" t="s">
        <v>188</v>
      </c>
      <c r="VOC16" t="s">
        <v>188</v>
      </c>
      <c r="VOD16" t="s">
        <v>188</v>
      </c>
      <c r="VOE16" t="s">
        <v>188</v>
      </c>
      <c r="VOF16" t="s">
        <v>188</v>
      </c>
      <c r="VOG16" t="s">
        <v>188</v>
      </c>
      <c r="VOH16" t="s">
        <v>188</v>
      </c>
      <c r="VOI16" t="s">
        <v>188</v>
      </c>
      <c r="VOJ16" t="s">
        <v>188</v>
      </c>
      <c r="VOK16" t="s">
        <v>188</v>
      </c>
      <c r="VOL16" t="s">
        <v>188</v>
      </c>
      <c r="VOM16" t="s">
        <v>188</v>
      </c>
      <c r="VON16" t="s">
        <v>188</v>
      </c>
      <c r="VOO16" t="s">
        <v>188</v>
      </c>
      <c r="VOP16" t="s">
        <v>188</v>
      </c>
      <c r="VOQ16" t="s">
        <v>188</v>
      </c>
      <c r="VOR16" t="s">
        <v>188</v>
      </c>
      <c r="VOS16" t="s">
        <v>188</v>
      </c>
      <c r="VOT16" t="s">
        <v>188</v>
      </c>
      <c r="VOU16" t="s">
        <v>188</v>
      </c>
      <c r="VOV16" t="s">
        <v>188</v>
      </c>
      <c r="VOW16" t="s">
        <v>188</v>
      </c>
      <c r="VOX16" t="s">
        <v>188</v>
      </c>
      <c r="VOY16" t="s">
        <v>188</v>
      </c>
      <c r="VOZ16" t="s">
        <v>188</v>
      </c>
      <c r="VPA16" t="s">
        <v>188</v>
      </c>
      <c r="VPB16" t="s">
        <v>188</v>
      </c>
      <c r="VPC16" t="s">
        <v>188</v>
      </c>
      <c r="VPD16" t="s">
        <v>188</v>
      </c>
      <c r="VPE16" t="s">
        <v>188</v>
      </c>
      <c r="VPF16" t="s">
        <v>188</v>
      </c>
      <c r="VPG16" t="s">
        <v>188</v>
      </c>
      <c r="VPH16" t="s">
        <v>188</v>
      </c>
      <c r="VPI16" t="s">
        <v>188</v>
      </c>
      <c r="VPJ16" t="s">
        <v>188</v>
      </c>
      <c r="VPK16" t="s">
        <v>188</v>
      </c>
      <c r="VPL16" t="s">
        <v>188</v>
      </c>
      <c r="VPM16" t="s">
        <v>188</v>
      </c>
      <c r="VPN16" t="s">
        <v>188</v>
      </c>
      <c r="VPO16" t="s">
        <v>188</v>
      </c>
      <c r="VPP16" t="s">
        <v>188</v>
      </c>
      <c r="VPQ16" t="s">
        <v>188</v>
      </c>
      <c r="VPR16" t="s">
        <v>188</v>
      </c>
      <c r="VPS16" t="s">
        <v>188</v>
      </c>
      <c r="VPT16" t="s">
        <v>188</v>
      </c>
      <c r="VPU16" t="s">
        <v>188</v>
      </c>
      <c r="VPV16" t="s">
        <v>188</v>
      </c>
      <c r="VPW16" t="s">
        <v>188</v>
      </c>
      <c r="VPX16" t="s">
        <v>188</v>
      </c>
      <c r="VPY16" t="s">
        <v>188</v>
      </c>
      <c r="VPZ16" t="s">
        <v>188</v>
      </c>
      <c r="VQA16" t="s">
        <v>188</v>
      </c>
      <c r="VQB16" t="s">
        <v>188</v>
      </c>
      <c r="VQC16" t="s">
        <v>188</v>
      </c>
      <c r="VQD16" t="s">
        <v>188</v>
      </c>
      <c r="VQE16" t="s">
        <v>188</v>
      </c>
      <c r="VQF16" t="s">
        <v>188</v>
      </c>
      <c r="VQG16" t="s">
        <v>188</v>
      </c>
      <c r="VQH16" t="s">
        <v>188</v>
      </c>
      <c r="VQI16" t="s">
        <v>188</v>
      </c>
      <c r="VQJ16" t="s">
        <v>188</v>
      </c>
      <c r="VQK16" t="s">
        <v>188</v>
      </c>
      <c r="VQL16" t="s">
        <v>188</v>
      </c>
      <c r="VQM16" t="s">
        <v>188</v>
      </c>
      <c r="VQN16" t="s">
        <v>188</v>
      </c>
      <c r="VQO16" t="s">
        <v>188</v>
      </c>
      <c r="VQP16" t="s">
        <v>188</v>
      </c>
      <c r="VQQ16" t="s">
        <v>188</v>
      </c>
      <c r="VQR16" t="s">
        <v>188</v>
      </c>
      <c r="VQS16" t="s">
        <v>188</v>
      </c>
      <c r="VQT16" t="s">
        <v>188</v>
      </c>
      <c r="VQU16" t="s">
        <v>188</v>
      </c>
      <c r="VQV16" t="s">
        <v>188</v>
      </c>
      <c r="VQW16" t="s">
        <v>188</v>
      </c>
      <c r="VQX16" t="s">
        <v>188</v>
      </c>
      <c r="VQY16" t="s">
        <v>188</v>
      </c>
      <c r="VQZ16" t="s">
        <v>188</v>
      </c>
      <c r="VRA16" t="s">
        <v>188</v>
      </c>
      <c r="VRB16" t="s">
        <v>188</v>
      </c>
      <c r="VRC16" t="s">
        <v>188</v>
      </c>
      <c r="VRD16" t="s">
        <v>188</v>
      </c>
      <c r="VRE16" t="s">
        <v>188</v>
      </c>
      <c r="VRF16" t="s">
        <v>188</v>
      </c>
      <c r="VRG16" t="s">
        <v>188</v>
      </c>
      <c r="VRH16" t="s">
        <v>188</v>
      </c>
      <c r="VRI16" t="s">
        <v>188</v>
      </c>
      <c r="VRJ16" t="s">
        <v>188</v>
      </c>
      <c r="VRK16" t="s">
        <v>188</v>
      </c>
      <c r="VRL16" t="s">
        <v>188</v>
      </c>
      <c r="VRM16" t="s">
        <v>188</v>
      </c>
      <c r="VRN16" t="s">
        <v>188</v>
      </c>
      <c r="VRO16" t="s">
        <v>188</v>
      </c>
      <c r="VRP16" t="s">
        <v>188</v>
      </c>
      <c r="VRQ16" t="s">
        <v>188</v>
      </c>
      <c r="VRR16" t="s">
        <v>188</v>
      </c>
      <c r="VRS16" t="s">
        <v>188</v>
      </c>
      <c r="VRT16" t="s">
        <v>188</v>
      </c>
      <c r="VRU16" t="s">
        <v>188</v>
      </c>
      <c r="VRV16" t="s">
        <v>188</v>
      </c>
      <c r="VRW16" t="s">
        <v>188</v>
      </c>
      <c r="VRX16" t="s">
        <v>188</v>
      </c>
      <c r="VRY16" t="s">
        <v>188</v>
      </c>
      <c r="VRZ16" t="s">
        <v>188</v>
      </c>
      <c r="VSA16" t="s">
        <v>188</v>
      </c>
      <c r="VSB16" t="s">
        <v>188</v>
      </c>
      <c r="VSC16" t="s">
        <v>188</v>
      </c>
      <c r="VSD16" t="s">
        <v>188</v>
      </c>
      <c r="VSE16" t="s">
        <v>188</v>
      </c>
      <c r="VSF16" t="s">
        <v>188</v>
      </c>
      <c r="VSG16" t="s">
        <v>188</v>
      </c>
      <c r="VSH16" t="s">
        <v>188</v>
      </c>
      <c r="VSI16" t="s">
        <v>188</v>
      </c>
      <c r="VSJ16" t="s">
        <v>188</v>
      </c>
      <c r="VSK16" t="s">
        <v>188</v>
      </c>
      <c r="VSL16" t="s">
        <v>188</v>
      </c>
      <c r="VSM16" t="s">
        <v>188</v>
      </c>
      <c r="VSN16" t="s">
        <v>188</v>
      </c>
      <c r="VSO16" t="s">
        <v>188</v>
      </c>
      <c r="VSP16" t="s">
        <v>188</v>
      </c>
      <c r="VSQ16" t="s">
        <v>188</v>
      </c>
      <c r="VSR16" t="s">
        <v>188</v>
      </c>
      <c r="VSS16" t="s">
        <v>188</v>
      </c>
      <c r="VST16" t="s">
        <v>188</v>
      </c>
      <c r="VSU16" t="s">
        <v>188</v>
      </c>
      <c r="VSV16" t="s">
        <v>188</v>
      </c>
      <c r="VSW16" t="s">
        <v>188</v>
      </c>
      <c r="VSX16" t="s">
        <v>188</v>
      </c>
      <c r="VSY16" t="s">
        <v>188</v>
      </c>
      <c r="VSZ16" t="s">
        <v>188</v>
      </c>
      <c r="VTA16" t="s">
        <v>188</v>
      </c>
      <c r="VTB16" t="s">
        <v>188</v>
      </c>
      <c r="VTC16" t="s">
        <v>188</v>
      </c>
      <c r="VTD16" t="s">
        <v>188</v>
      </c>
      <c r="VTE16" t="s">
        <v>188</v>
      </c>
      <c r="VTF16" t="s">
        <v>188</v>
      </c>
      <c r="VTG16" t="s">
        <v>188</v>
      </c>
      <c r="VTH16" t="s">
        <v>188</v>
      </c>
      <c r="VTI16" t="s">
        <v>188</v>
      </c>
      <c r="VTJ16" t="s">
        <v>188</v>
      </c>
      <c r="VTK16" t="s">
        <v>188</v>
      </c>
      <c r="VTL16" t="s">
        <v>188</v>
      </c>
      <c r="VTM16" t="s">
        <v>188</v>
      </c>
      <c r="VTN16" t="s">
        <v>188</v>
      </c>
      <c r="VTO16" t="s">
        <v>188</v>
      </c>
      <c r="VTP16" t="s">
        <v>188</v>
      </c>
      <c r="VTQ16" t="s">
        <v>188</v>
      </c>
      <c r="VTR16" t="s">
        <v>188</v>
      </c>
      <c r="VTS16" t="s">
        <v>188</v>
      </c>
      <c r="VTT16" t="s">
        <v>188</v>
      </c>
      <c r="VTU16" t="s">
        <v>188</v>
      </c>
      <c r="VTV16" t="s">
        <v>188</v>
      </c>
      <c r="VTW16" t="s">
        <v>188</v>
      </c>
      <c r="VTX16" t="s">
        <v>188</v>
      </c>
      <c r="VTY16" t="s">
        <v>188</v>
      </c>
      <c r="VTZ16" t="s">
        <v>188</v>
      </c>
      <c r="VUA16" t="s">
        <v>188</v>
      </c>
      <c r="VUB16" t="s">
        <v>188</v>
      </c>
      <c r="VUC16" t="s">
        <v>188</v>
      </c>
      <c r="VUD16" t="s">
        <v>188</v>
      </c>
      <c r="VUE16" t="s">
        <v>188</v>
      </c>
      <c r="VUF16" t="s">
        <v>188</v>
      </c>
      <c r="VUG16" t="s">
        <v>188</v>
      </c>
      <c r="VUH16" t="s">
        <v>188</v>
      </c>
      <c r="VUI16" t="s">
        <v>188</v>
      </c>
      <c r="VUJ16" t="s">
        <v>188</v>
      </c>
      <c r="VUK16" t="s">
        <v>188</v>
      </c>
      <c r="VUL16" t="s">
        <v>188</v>
      </c>
      <c r="VUM16" t="s">
        <v>188</v>
      </c>
      <c r="VUN16" t="s">
        <v>188</v>
      </c>
      <c r="VUO16" t="s">
        <v>188</v>
      </c>
      <c r="VUP16" t="s">
        <v>188</v>
      </c>
      <c r="VUQ16" t="s">
        <v>188</v>
      </c>
      <c r="VUR16" t="s">
        <v>188</v>
      </c>
      <c r="VUS16" t="s">
        <v>188</v>
      </c>
      <c r="VUT16" t="s">
        <v>188</v>
      </c>
      <c r="VUU16" t="s">
        <v>188</v>
      </c>
      <c r="VUV16" t="s">
        <v>188</v>
      </c>
      <c r="VUW16" t="s">
        <v>188</v>
      </c>
      <c r="VUX16" t="s">
        <v>188</v>
      </c>
      <c r="VUY16" t="s">
        <v>188</v>
      </c>
      <c r="VUZ16" t="s">
        <v>188</v>
      </c>
      <c r="VVA16" t="s">
        <v>188</v>
      </c>
      <c r="VVB16" t="s">
        <v>188</v>
      </c>
      <c r="VVC16" t="s">
        <v>188</v>
      </c>
      <c r="VVD16" t="s">
        <v>188</v>
      </c>
      <c r="VVE16" t="s">
        <v>188</v>
      </c>
      <c r="VVF16" t="s">
        <v>188</v>
      </c>
      <c r="VVG16" t="s">
        <v>188</v>
      </c>
      <c r="VVH16" t="s">
        <v>188</v>
      </c>
      <c r="VVI16" t="s">
        <v>188</v>
      </c>
      <c r="VVJ16" t="s">
        <v>188</v>
      </c>
      <c r="VVK16" t="s">
        <v>188</v>
      </c>
      <c r="VVL16" t="s">
        <v>188</v>
      </c>
      <c r="VVM16" t="s">
        <v>188</v>
      </c>
      <c r="VVN16" t="s">
        <v>188</v>
      </c>
      <c r="VVO16" t="s">
        <v>188</v>
      </c>
      <c r="VVP16" t="s">
        <v>188</v>
      </c>
      <c r="VVQ16" t="s">
        <v>188</v>
      </c>
      <c r="VVR16" t="s">
        <v>188</v>
      </c>
      <c r="VVS16" t="s">
        <v>188</v>
      </c>
      <c r="VVT16" t="s">
        <v>188</v>
      </c>
      <c r="VVU16" t="s">
        <v>188</v>
      </c>
      <c r="VVV16" t="s">
        <v>188</v>
      </c>
      <c r="VVW16" t="s">
        <v>188</v>
      </c>
      <c r="VVX16" t="s">
        <v>188</v>
      </c>
      <c r="VVY16" t="s">
        <v>188</v>
      </c>
      <c r="VVZ16" t="s">
        <v>188</v>
      </c>
      <c r="VWA16" t="s">
        <v>188</v>
      </c>
      <c r="VWB16" t="s">
        <v>188</v>
      </c>
      <c r="VWC16" t="s">
        <v>188</v>
      </c>
      <c r="VWD16" t="s">
        <v>188</v>
      </c>
      <c r="VWE16" t="s">
        <v>188</v>
      </c>
      <c r="VWF16" t="s">
        <v>188</v>
      </c>
      <c r="VWG16" t="s">
        <v>188</v>
      </c>
      <c r="VWH16" t="s">
        <v>188</v>
      </c>
      <c r="VWI16" t="s">
        <v>188</v>
      </c>
      <c r="VWJ16" t="s">
        <v>188</v>
      </c>
      <c r="VWK16" t="s">
        <v>188</v>
      </c>
      <c r="VWL16" t="s">
        <v>188</v>
      </c>
      <c r="VWM16" t="s">
        <v>188</v>
      </c>
      <c r="VWN16" t="s">
        <v>188</v>
      </c>
      <c r="VWO16" t="s">
        <v>188</v>
      </c>
      <c r="VWP16" t="s">
        <v>188</v>
      </c>
      <c r="VWQ16" t="s">
        <v>188</v>
      </c>
      <c r="VWR16" t="s">
        <v>188</v>
      </c>
      <c r="VWS16" t="s">
        <v>188</v>
      </c>
      <c r="VWT16" t="s">
        <v>188</v>
      </c>
      <c r="VWU16" t="s">
        <v>188</v>
      </c>
      <c r="VWV16" t="s">
        <v>188</v>
      </c>
      <c r="VWW16" t="s">
        <v>188</v>
      </c>
      <c r="VWX16" t="s">
        <v>188</v>
      </c>
      <c r="VWY16" t="s">
        <v>188</v>
      </c>
      <c r="VWZ16" t="s">
        <v>188</v>
      </c>
      <c r="VXA16" t="s">
        <v>188</v>
      </c>
      <c r="VXB16" t="s">
        <v>188</v>
      </c>
      <c r="VXC16" t="s">
        <v>188</v>
      </c>
      <c r="VXD16" t="s">
        <v>188</v>
      </c>
      <c r="VXE16" t="s">
        <v>188</v>
      </c>
      <c r="VXF16" t="s">
        <v>188</v>
      </c>
      <c r="VXG16" t="s">
        <v>188</v>
      </c>
      <c r="VXH16" t="s">
        <v>188</v>
      </c>
      <c r="VXI16" t="s">
        <v>188</v>
      </c>
      <c r="VXJ16" t="s">
        <v>188</v>
      </c>
      <c r="VXK16" t="s">
        <v>188</v>
      </c>
      <c r="VXL16" t="s">
        <v>188</v>
      </c>
      <c r="VXM16" t="s">
        <v>188</v>
      </c>
      <c r="VXN16" t="s">
        <v>188</v>
      </c>
      <c r="VXO16" t="s">
        <v>188</v>
      </c>
      <c r="VXP16" t="s">
        <v>188</v>
      </c>
      <c r="VXQ16" t="s">
        <v>188</v>
      </c>
      <c r="VXR16" t="s">
        <v>188</v>
      </c>
      <c r="VXS16" t="s">
        <v>188</v>
      </c>
      <c r="VXT16" t="s">
        <v>188</v>
      </c>
      <c r="VXU16" t="s">
        <v>188</v>
      </c>
      <c r="VXV16" t="s">
        <v>188</v>
      </c>
      <c r="VXW16" t="s">
        <v>188</v>
      </c>
      <c r="VXX16" t="s">
        <v>188</v>
      </c>
      <c r="VXY16" t="s">
        <v>188</v>
      </c>
      <c r="VXZ16" t="s">
        <v>188</v>
      </c>
      <c r="VYA16" t="s">
        <v>188</v>
      </c>
      <c r="VYB16" t="s">
        <v>188</v>
      </c>
      <c r="VYC16" t="s">
        <v>188</v>
      </c>
      <c r="VYD16" t="s">
        <v>188</v>
      </c>
      <c r="VYE16" t="s">
        <v>188</v>
      </c>
      <c r="VYF16" t="s">
        <v>188</v>
      </c>
      <c r="VYG16" t="s">
        <v>188</v>
      </c>
      <c r="VYH16" t="s">
        <v>188</v>
      </c>
      <c r="VYI16" t="s">
        <v>188</v>
      </c>
      <c r="VYJ16" t="s">
        <v>188</v>
      </c>
      <c r="VYK16" t="s">
        <v>188</v>
      </c>
      <c r="VYL16" t="s">
        <v>188</v>
      </c>
      <c r="VYM16" t="s">
        <v>188</v>
      </c>
      <c r="VYN16" t="s">
        <v>188</v>
      </c>
      <c r="VYO16" t="s">
        <v>188</v>
      </c>
      <c r="VYP16" t="s">
        <v>188</v>
      </c>
      <c r="VYQ16" t="s">
        <v>188</v>
      </c>
      <c r="VYR16" t="s">
        <v>188</v>
      </c>
      <c r="VYS16" t="s">
        <v>188</v>
      </c>
      <c r="VYT16" t="s">
        <v>188</v>
      </c>
      <c r="VYU16" t="s">
        <v>188</v>
      </c>
      <c r="VYV16" t="s">
        <v>188</v>
      </c>
      <c r="VYW16" t="s">
        <v>188</v>
      </c>
      <c r="VYX16" t="s">
        <v>188</v>
      </c>
      <c r="VYY16" t="s">
        <v>188</v>
      </c>
      <c r="VYZ16" t="s">
        <v>188</v>
      </c>
      <c r="VZA16" t="s">
        <v>188</v>
      </c>
      <c r="VZB16" t="s">
        <v>188</v>
      </c>
      <c r="VZC16" t="s">
        <v>188</v>
      </c>
      <c r="VZD16" t="s">
        <v>188</v>
      </c>
      <c r="VZE16" t="s">
        <v>188</v>
      </c>
      <c r="VZF16" t="s">
        <v>188</v>
      </c>
      <c r="VZG16" t="s">
        <v>188</v>
      </c>
      <c r="VZH16" t="s">
        <v>188</v>
      </c>
      <c r="VZI16" t="s">
        <v>188</v>
      </c>
      <c r="VZJ16" t="s">
        <v>188</v>
      </c>
      <c r="VZK16" t="s">
        <v>188</v>
      </c>
      <c r="VZL16" t="s">
        <v>188</v>
      </c>
      <c r="VZM16" t="s">
        <v>188</v>
      </c>
      <c r="VZN16" t="s">
        <v>188</v>
      </c>
      <c r="VZO16" t="s">
        <v>188</v>
      </c>
      <c r="VZP16" t="s">
        <v>188</v>
      </c>
      <c r="VZQ16" t="s">
        <v>188</v>
      </c>
      <c r="VZR16" t="s">
        <v>188</v>
      </c>
      <c r="VZS16" t="s">
        <v>188</v>
      </c>
      <c r="VZT16" t="s">
        <v>188</v>
      </c>
      <c r="VZU16" t="s">
        <v>188</v>
      </c>
      <c r="VZV16" t="s">
        <v>188</v>
      </c>
      <c r="VZW16" t="s">
        <v>188</v>
      </c>
      <c r="VZX16" t="s">
        <v>188</v>
      </c>
      <c r="VZY16" t="s">
        <v>188</v>
      </c>
      <c r="VZZ16" t="s">
        <v>188</v>
      </c>
      <c r="WAA16" t="s">
        <v>188</v>
      </c>
      <c r="WAB16" t="s">
        <v>188</v>
      </c>
      <c r="WAC16" t="s">
        <v>188</v>
      </c>
      <c r="WAD16" t="s">
        <v>188</v>
      </c>
      <c r="WAE16" t="s">
        <v>188</v>
      </c>
      <c r="WAF16" t="s">
        <v>188</v>
      </c>
      <c r="WAG16" t="s">
        <v>188</v>
      </c>
      <c r="WAH16" t="s">
        <v>188</v>
      </c>
      <c r="WAI16" t="s">
        <v>188</v>
      </c>
      <c r="WAJ16" t="s">
        <v>188</v>
      </c>
      <c r="WAK16" t="s">
        <v>188</v>
      </c>
      <c r="WAL16" t="s">
        <v>188</v>
      </c>
      <c r="WAM16" t="s">
        <v>188</v>
      </c>
      <c r="WAN16" t="s">
        <v>188</v>
      </c>
      <c r="WAO16" t="s">
        <v>188</v>
      </c>
      <c r="WAP16" t="s">
        <v>188</v>
      </c>
      <c r="WAQ16" t="s">
        <v>188</v>
      </c>
      <c r="WAR16" t="s">
        <v>188</v>
      </c>
      <c r="WAS16" t="s">
        <v>188</v>
      </c>
      <c r="WAT16" t="s">
        <v>188</v>
      </c>
      <c r="WAU16" t="s">
        <v>188</v>
      </c>
      <c r="WAV16" t="s">
        <v>188</v>
      </c>
      <c r="WAW16" t="s">
        <v>188</v>
      </c>
      <c r="WAX16" t="s">
        <v>188</v>
      </c>
      <c r="WAY16" t="s">
        <v>188</v>
      </c>
      <c r="WAZ16" t="s">
        <v>188</v>
      </c>
      <c r="WBA16" t="s">
        <v>188</v>
      </c>
      <c r="WBB16" t="s">
        <v>188</v>
      </c>
      <c r="WBC16" t="s">
        <v>188</v>
      </c>
      <c r="WBD16" t="s">
        <v>188</v>
      </c>
      <c r="WBE16" t="s">
        <v>188</v>
      </c>
      <c r="WBF16" t="s">
        <v>188</v>
      </c>
      <c r="WBG16" t="s">
        <v>188</v>
      </c>
      <c r="WBH16" t="s">
        <v>188</v>
      </c>
      <c r="WBI16" t="s">
        <v>188</v>
      </c>
      <c r="WBJ16" t="s">
        <v>188</v>
      </c>
      <c r="WBK16" t="s">
        <v>188</v>
      </c>
      <c r="WBL16" t="s">
        <v>188</v>
      </c>
      <c r="WBM16" t="s">
        <v>188</v>
      </c>
      <c r="WBN16" t="s">
        <v>188</v>
      </c>
      <c r="WBO16" t="s">
        <v>188</v>
      </c>
      <c r="WBP16" t="s">
        <v>188</v>
      </c>
      <c r="WBQ16" t="s">
        <v>188</v>
      </c>
      <c r="WBR16" t="s">
        <v>188</v>
      </c>
      <c r="WBS16" t="s">
        <v>188</v>
      </c>
      <c r="WBT16" t="s">
        <v>188</v>
      </c>
      <c r="WBU16" t="s">
        <v>188</v>
      </c>
      <c r="WBV16" t="s">
        <v>188</v>
      </c>
      <c r="WBW16" t="s">
        <v>188</v>
      </c>
      <c r="WBX16" t="s">
        <v>188</v>
      </c>
      <c r="WBY16" t="s">
        <v>188</v>
      </c>
      <c r="WBZ16" t="s">
        <v>188</v>
      </c>
      <c r="WCA16" t="s">
        <v>188</v>
      </c>
      <c r="WCB16" t="s">
        <v>188</v>
      </c>
      <c r="WCC16" t="s">
        <v>188</v>
      </c>
      <c r="WCD16" t="s">
        <v>188</v>
      </c>
      <c r="WCE16" t="s">
        <v>188</v>
      </c>
      <c r="WCF16" t="s">
        <v>188</v>
      </c>
      <c r="WCG16" t="s">
        <v>188</v>
      </c>
      <c r="WCH16" t="s">
        <v>188</v>
      </c>
      <c r="WCI16" t="s">
        <v>188</v>
      </c>
      <c r="WCJ16" t="s">
        <v>188</v>
      </c>
      <c r="WCK16" t="s">
        <v>188</v>
      </c>
      <c r="WCL16" t="s">
        <v>188</v>
      </c>
      <c r="WCM16" t="s">
        <v>188</v>
      </c>
      <c r="WCN16" t="s">
        <v>188</v>
      </c>
      <c r="WCO16" t="s">
        <v>188</v>
      </c>
      <c r="WCP16" t="s">
        <v>188</v>
      </c>
      <c r="WCQ16" t="s">
        <v>188</v>
      </c>
      <c r="WCR16" t="s">
        <v>188</v>
      </c>
      <c r="WCS16" t="s">
        <v>188</v>
      </c>
      <c r="WCT16" t="s">
        <v>188</v>
      </c>
      <c r="WCU16" t="s">
        <v>188</v>
      </c>
      <c r="WCV16" t="s">
        <v>188</v>
      </c>
      <c r="WCW16" t="s">
        <v>188</v>
      </c>
      <c r="WCX16" t="s">
        <v>188</v>
      </c>
      <c r="WCY16" t="s">
        <v>188</v>
      </c>
      <c r="WCZ16" t="s">
        <v>188</v>
      </c>
      <c r="WDA16" t="s">
        <v>188</v>
      </c>
      <c r="WDB16" t="s">
        <v>188</v>
      </c>
      <c r="WDC16" t="s">
        <v>188</v>
      </c>
      <c r="WDD16" t="s">
        <v>188</v>
      </c>
      <c r="WDE16" t="s">
        <v>188</v>
      </c>
      <c r="WDF16" t="s">
        <v>188</v>
      </c>
      <c r="WDG16" t="s">
        <v>188</v>
      </c>
      <c r="WDH16" t="s">
        <v>188</v>
      </c>
      <c r="WDI16" t="s">
        <v>188</v>
      </c>
      <c r="WDJ16" t="s">
        <v>188</v>
      </c>
      <c r="WDK16" t="s">
        <v>188</v>
      </c>
      <c r="WDL16" t="s">
        <v>188</v>
      </c>
      <c r="WDM16" t="s">
        <v>188</v>
      </c>
      <c r="WDN16" t="s">
        <v>188</v>
      </c>
      <c r="WDO16" t="s">
        <v>188</v>
      </c>
      <c r="WDP16" t="s">
        <v>188</v>
      </c>
      <c r="WDQ16" t="s">
        <v>188</v>
      </c>
      <c r="WDR16" t="s">
        <v>188</v>
      </c>
      <c r="WDS16" t="s">
        <v>188</v>
      </c>
      <c r="WDT16" t="s">
        <v>188</v>
      </c>
      <c r="WDU16" t="s">
        <v>188</v>
      </c>
      <c r="WDV16" t="s">
        <v>188</v>
      </c>
      <c r="WDW16" t="s">
        <v>188</v>
      </c>
      <c r="WDX16" t="s">
        <v>188</v>
      </c>
      <c r="WDY16" t="s">
        <v>188</v>
      </c>
      <c r="WDZ16" t="s">
        <v>188</v>
      </c>
      <c r="WEA16" t="s">
        <v>188</v>
      </c>
      <c r="WEB16" t="s">
        <v>188</v>
      </c>
      <c r="WEC16" t="s">
        <v>188</v>
      </c>
      <c r="WED16" t="s">
        <v>188</v>
      </c>
      <c r="WEE16" t="s">
        <v>188</v>
      </c>
      <c r="WEF16" t="s">
        <v>188</v>
      </c>
      <c r="WEG16" t="s">
        <v>188</v>
      </c>
      <c r="WEH16" t="s">
        <v>188</v>
      </c>
      <c r="WEI16" t="s">
        <v>188</v>
      </c>
      <c r="WEJ16" t="s">
        <v>188</v>
      </c>
      <c r="WEK16" t="s">
        <v>188</v>
      </c>
      <c r="WEL16" t="s">
        <v>188</v>
      </c>
      <c r="WEM16" t="s">
        <v>188</v>
      </c>
      <c r="WEN16" t="s">
        <v>188</v>
      </c>
      <c r="WEO16" t="s">
        <v>188</v>
      </c>
      <c r="WEP16" t="s">
        <v>188</v>
      </c>
      <c r="WEQ16" t="s">
        <v>188</v>
      </c>
      <c r="WER16" t="s">
        <v>188</v>
      </c>
      <c r="WES16" t="s">
        <v>188</v>
      </c>
      <c r="WET16" t="s">
        <v>188</v>
      </c>
      <c r="WEU16" t="s">
        <v>188</v>
      </c>
      <c r="WEV16" t="s">
        <v>188</v>
      </c>
      <c r="WEW16" t="s">
        <v>188</v>
      </c>
      <c r="WEX16" t="s">
        <v>188</v>
      </c>
      <c r="WEY16" t="s">
        <v>188</v>
      </c>
      <c r="WEZ16" t="s">
        <v>188</v>
      </c>
      <c r="WFA16" t="s">
        <v>188</v>
      </c>
      <c r="WFB16" t="s">
        <v>188</v>
      </c>
      <c r="WFC16" t="s">
        <v>188</v>
      </c>
      <c r="WFD16" t="s">
        <v>188</v>
      </c>
      <c r="WFE16" t="s">
        <v>188</v>
      </c>
      <c r="WFF16" t="s">
        <v>188</v>
      </c>
      <c r="WFG16" t="s">
        <v>188</v>
      </c>
      <c r="WFH16" t="s">
        <v>188</v>
      </c>
      <c r="WFI16" t="s">
        <v>188</v>
      </c>
      <c r="WFJ16" t="s">
        <v>188</v>
      </c>
      <c r="WFK16" t="s">
        <v>188</v>
      </c>
      <c r="WFL16" t="s">
        <v>188</v>
      </c>
      <c r="WFM16" t="s">
        <v>188</v>
      </c>
      <c r="WFN16" t="s">
        <v>188</v>
      </c>
      <c r="WFO16" t="s">
        <v>188</v>
      </c>
      <c r="WFP16" t="s">
        <v>188</v>
      </c>
      <c r="WFQ16" t="s">
        <v>188</v>
      </c>
      <c r="WFR16" t="s">
        <v>188</v>
      </c>
      <c r="WFS16" t="s">
        <v>188</v>
      </c>
      <c r="WFT16" t="s">
        <v>188</v>
      </c>
      <c r="WFU16" t="s">
        <v>188</v>
      </c>
      <c r="WFV16" t="s">
        <v>188</v>
      </c>
      <c r="WFW16" t="s">
        <v>188</v>
      </c>
      <c r="WFX16" t="s">
        <v>188</v>
      </c>
      <c r="WFY16" t="s">
        <v>188</v>
      </c>
      <c r="WFZ16" t="s">
        <v>188</v>
      </c>
      <c r="WGA16" t="s">
        <v>188</v>
      </c>
      <c r="WGB16" t="s">
        <v>188</v>
      </c>
      <c r="WGC16" t="s">
        <v>188</v>
      </c>
      <c r="WGD16" t="s">
        <v>188</v>
      </c>
      <c r="WGE16" t="s">
        <v>188</v>
      </c>
      <c r="WGF16" t="s">
        <v>188</v>
      </c>
      <c r="WGG16" t="s">
        <v>188</v>
      </c>
      <c r="WGH16" t="s">
        <v>188</v>
      </c>
      <c r="WGI16" t="s">
        <v>188</v>
      </c>
      <c r="WGJ16" t="s">
        <v>188</v>
      </c>
      <c r="WGK16" t="s">
        <v>188</v>
      </c>
      <c r="WGL16" t="s">
        <v>188</v>
      </c>
      <c r="WGM16" t="s">
        <v>188</v>
      </c>
      <c r="WGN16" t="s">
        <v>188</v>
      </c>
      <c r="WGO16" t="s">
        <v>188</v>
      </c>
      <c r="WGP16" t="s">
        <v>188</v>
      </c>
      <c r="WGQ16" t="s">
        <v>188</v>
      </c>
      <c r="WGR16" t="s">
        <v>188</v>
      </c>
      <c r="WGS16" t="s">
        <v>188</v>
      </c>
      <c r="WGT16" t="s">
        <v>188</v>
      </c>
      <c r="WGU16" t="s">
        <v>188</v>
      </c>
      <c r="WGV16" t="s">
        <v>188</v>
      </c>
      <c r="WGW16" t="s">
        <v>188</v>
      </c>
      <c r="WGX16" t="s">
        <v>188</v>
      </c>
      <c r="WGY16" t="s">
        <v>188</v>
      </c>
      <c r="WGZ16" t="s">
        <v>188</v>
      </c>
      <c r="WHA16" t="s">
        <v>188</v>
      </c>
      <c r="WHB16" t="s">
        <v>188</v>
      </c>
      <c r="WHC16" t="s">
        <v>188</v>
      </c>
      <c r="WHD16" t="s">
        <v>188</v>
      </c>
      <c r="WHE16" t="s">
        <v>188</v>
      </c>
      <c r="WHF16" t="s">
        <v>188</v>
      </c>
      <c r="WHG16" t="s">
        <v>188</v>
      </c>
      <c r="WHH16" t="s">
        <v>188</v>
      </c>
      <c r="WHI16" t="s">
        <v>188</v>
      </c>
      <c r="WHJ16" t="s">
        <v>188</v>
      </c>
      <c r="WHK16" t="s">
        <v>188</v>
      </c>
      <c r="WHL16" t="s">
        <v>188</v>
      </c>
      <c r="WHM16" t="s">
        <v>188</v>
      </c>
      <c r="WHN16" t="s">
        <v>188</v>
      </c>
      <c r="WHO16" t="s">
        <v>188</v>
      </c>
      <c r="WHP16" t="s">
        <v>188</v>
      </c>
      <c r="WHQ16" t="s">
        <v>188</v>
      </c>
      <c r="WHR16" t="s">
        <v>188</v>
      </c>
      <c r="WHS16" t="s">
        <v>188</v>
      </c>
      <c r="WHT16" t="s">
        <v>188</v>
      </c>
      <c r="WHU16" t="s">
        <v>188</v>
      </c>
      <c r="WHV16" t="s">
        <v>188</v>
      </c>
      <c r="WHW16" t="s">
        <v>188</v>
      </c>
      <c r="WHX16" t="s">
        <v>188</v>
      </c>
      <c r="WHY16" t="s">
        <v>188</v>
      </c>
      <c r="WHZ16" t="s">
        <v>188</v>
      </c>
      <c r="WIA16" t="s">
        <v>188</v>
      </c>
      <c r="WIB16" t="s">
        <v>188</v>
      </c>
      <c r="WIC16" t="s">
        <v>188</v>
      </c>
      <c r="WID16" t="s">
        <v>188</v>
      </c>
      <c r="WIE16" t="s">
        <v>188</v>
      </c>
      <c r="WIF16" t="s">
        <v>188</v>
      </c>
      <c r="WIG16" t="s">
        <v>188</v>
      </c>
      <c r="WIH16" t="s">
        <v>188</v>
      </c>
      <c r="WII16" t="s">
        <v>188</v>
      </c>
      <c r="WIJ16" t="s">
        <v>188</v>
      </c>
      <c r="WIK16" t="s">
        <v>188</v>
      </c>
      <c r="WIL16" t="s">
        <v>188</v>
      </c>
      <c r="WIM16" t="s">
        <v>188</v>
      </c>
      <c r="WIN16" t="s">
        <v>188</v>
      </c>
      <c r="WIO16" t="s">
        <v>188</v>
      </c>
      <c r="WIP16" t="s">
        <v>188</v>
      </c>
      <c r="WIQ16" t="s">
        <v>188</v>
      </c>
      <c r="WIR16" t="s">
        <v>188</v>
      </c>
      <c r="WIS16" t="s">
        <v>188</v>
      </c>
      <c r="WIT16" t="s">
        <v>188</v>
      </c>
      <c r="WIU16" t="s">
        <v>188</v>
      </c>
      <c r="WIV16" t="s">
        <v>188</v>
      </c>
      <c r="WIW16" t="s">
        <v>188</v>
      </c>
      <c r="WIX16" t="s">
        <v>188</v>
      </c>
      <c r="WIY16" t="s">
        <v>188</v>
      </c>
      <c r="WIZ16" t="s">
        <v>188</v>
      </c>
      <c r="WJA16" t="s">
        <v>188</v>
      </c>
      <c r="WJB16" t="s">
        <v>188</v>
      </c>
      <c r="WJC16" t="s">
        <v>188</v>
      </c>
      <c r="WJD16" t="s">
        <v>188</v>
      </c>
      <c r="WJE16" t="s">
        <v>188</v>
      </c>
      <c r="WJF16" t="s">
        <v>188</v>
      </c>
      <c r="WJG16" t="s">
        <v>188</v>
      </c>
      <c r="WJH16" t="s">
        <v>188</v>
      </c>
      <c r="WJI16" t="s">
        <v>188</v>
      </c>
      <c r="WJJ16" t="s">
        <v>188</v>
      </c>
      <c r="WJK16" t="s">
        <v>188</v>
      </c>
      <c r="WJL16" t="s">
        <v>188</v>
      </c>
      <c r="WJM16" t="s">
        <v>188</v>
      </c>
      <c r="WJN16" t="s">
        <v>188</v>
      </c>
      <c r="WJO16" t="s">
        <v>188</v>
      </c>
      <c r="WJP16" t="s">
        <v>188</v>
      </c>
      <c r="WJQ16" t="s">
        <v>188</v>
      </c>
      <c r="WJR16" t="s">
        <v>188</v>
      </c>
      <c r="WJS16" t="s">
        <v>188</v>
      </c>
      <c r="WJT16" t="s">
        <v>188</v>
      </c>
      <c r="WJU16" t="s">
        <v>188</v>
      </c>
      <c r="WJV16" t="s">
        <v>188</v>
      </c>
      <c r="WJW16" t="s">
        <v>188</v>
      </c>
      <c r="WJX16" t="s">
        <v>188</v>
      </c>
      <c r="WJY16" t="s">
        <v>188</v>
      </c>
      <c r="WJZ16" t="s">
        <v>188</v>
      </c>
      <c r="WKA16" t="s">
        <v>188</v>
      </c>
      <c r="WKB16" t="s">
        <v>188</v>
      </c>
      <c r="WKC16" t="s">
        <v>188</v>
      </c>
      <c r="WKD16" t="s">
        <v>188</v>
      </c>
      <c r="WKE16" t="s">
        <v>188</v>
      </c>
      <c r="WKF16" t="s">
        <v>188</v>
      </c>
      <c r="WKG16" t="s">
        <v>188</v>
      </c>
      <c r="WKH16" t="s">
        <v>188</v>
      </c>
      <c r="WKI16" t="s">
        <v>188</v>
      </c>
      <c r="WKJ16" t="s">
        <v>188</v>
      </c>
      <c r="WKK16" t="s">
        <v>188</v>
      </c>
      <c r="WKL16" t="s">
        <v>188</v>
      </c>
      <c r="WKM16" t="s">
        <v>188</v>
      </c>
      <c r="WKN16" t="s">
        <v>188</v>
      </c>
      <c r="WKO16" t="s">
        <v>188</v>
      </c>
      <c r="WKP16" t="s">
        <v>188</v>
      </c>
      <c r="WKQ16" t="s">
        <v>188</v>
      </c>
      <c r="WKR16" t="s">
        <v>188</v>
      </c>
      <c r="WKS16" t="s">
        <v>188</v>
      </c>
      <c r="WKT16" t="s">
        <v>188</v>
      </c>
      <c r="WKU16" t="s">
        <v>188</v>
      </c>
      <c r="WKV16" t="s">
        <v>188</v>
      </c>
      <c r="WKW16" t="s">
        <v>188</v>
      </c>
      <c r="WKX16" t="s">
        <v>188</v>
      </c>
      <c r="WKY16" t="s">
        <v>188</v>
      </c>
      <c r="WKZ16" t="s">
        <v>188</v>
      </c>
      <c r="WLA16" t="s">
        <v>188</v>
      </c>
      <c r="WLB16" t="s">
        <v>188</v>
      </c>
      <c r="WLC16" t="s">
        <v>188</v>
      </c>
      <c r="WLD16" t="s">
        <v>188</v>
      </c>
      <c r="WLE16" t="s">
        <v>188</v>
      </c>
      <c r="WLF16" t="s">
        <v>188</v>
      </c>
      <c r="WLG16" t="s">
        <v>188</v>
      </c>
      <c r="WLH16" t="s">
        <v>188</v>
      </c>
      <c r="WLI16" t="s">
        <v>188</v>
      </c>
      <c r="WLJ16" t="s">
        <v>188</v>
      </c>
      <c r="WLK16" t="s">
        <v>188</v>
      </c>
      <c r="WLL16" t="s">
        <v>188</v>
      </c>
      <c r="WLM16" t="s">
        <v>188</v>
      </c>
      <c r="WLN16" t="s">
        <v>188</v>
      </c>
      <c r="WLO16" t="s">
        <v>188</v>
      </c>
      <c r="WLP16" t="s">
        <v>188</v>
      </c>
      <c r="WLQ16" t="s">
        <v>188</v>
      </c>
      <c r="WLR16" t="s">
        <v>188</v>
      </c>
      <c r="WLS16" t="s">
        <v>188</v>
      </c>
      <c r="WLT16" t="s">
        <v>188</v>
      </c>
      <c r="WLU16" t="s">
        <v>188</v>
      </c>
      <c r="WLV16" t="s">
        <v>188</v>
      </c>
      <c r="WLW16" t="s">
        <v>188</v>
      </c>
      <c r="WLX16" t="s">
        <v>188</v>
      </c>
      <c r="WLY16" t="s">
        <v>188</v>
      </c>
      <c r="WLZ16" t="s">
        <v>188</v>
      </c>
      <c r="WMA16" t="s">
        <v>188</v>
      </c>
      <c r="WMB16" t="s">
        <v>188</v>
      </c>
      <c r="WMC16" t="s">
        <v>188</v>
      </c>
      <c r="WMD16" t="s">
        <v>188</v>
      </c>
      <c r="WME16" t="s">
        <v>188</v>
      </c>
      <c r="WMF16" t="s">
        <v>188</v>
      </c>
      <c r="WMG16" t="s">
        <v>188</v>
      </c>
      <c r="WMH16" t="s">
        <v>188</v>
      </c>
      <c r="WMI16" t="s">
        <v>188</v>
      </c>
      <c r="WMJ16" t="s">
        <v>188</v>
      </c>
      <c r="WMK16" t="s">
        <v>188</v>
      </c>
      <c r="WML16" t="s">
        <v>188</v>
      </c>
      <c r="WMM16" t="s">
        <v>188</v>
      </c>
      <c r="WMN16" t="s">
        <v>188</v>
      </c>
      <c r="WMO16" t="s">
        <v>188</v>
      </c>
      <c r="WMP16" t="s">
        <v>188</v>
      </c>
      <c r="WMQ16" t="s">
        <v>188</v>
      </c>
      <c r="WMR16" t="s">
        <v>188</v>
      </c>
      <c r="WMS16" t="s">
        <v>188</v>
      </c>
      <c r="WMT16" t="s">
        <v>188</v>
      </c>
      <c r="WMU16" t="s">
        <v>188</v>
      </c>
      <c r="WMV16" t="s">
        <v>188</v>
      </c>
      <c r="WMW16" t="s">
        <v>188</v>
      </c>
      <c r="WMX16" t="s">
        <v>188</v>
      </c>
      <c r="WMY16" t="s">
        <v>188</v>
      </c>
      <c r="WMZ16" t="s">
        <v>188</v>
      </c>
      <c r="WNA16" t="s">
        <v>188</v>
      </c>
      <c r="WNB16" t="s">
        <v>188</v>
      </c>
      <c r="WNC16" t="s">
        <v>188</v>
      </c>
      <c r="WND16" t="s">
        <v>188</v>
      </c>
      <c r="WNE16" t="s">
        <v>188</v>
      </c>
      <c r="WNF16" t="s">
        <v>188</v>
      </c>
      <c r="WNG16" t="s">
        <v>188</v>
      </c>
      <c r="WNH16" t="s">
        <v>188</v>
      </c>
      <c r="WNI16" t="s">
        <v>188</v>
      </c>
      <c r="WNJ16" t="s">
        <v>188</v>
      </c>
      <c r="WNK16" t="s">
        <v>188</v>
      </c>
      <c r="WNL16" t="s">
        <v>188</v>
      </c>
      <c r="WNM16" t="s">
        <v>188</v>
      </c>
      <c r="WNN16" t="s">
        <v>188</v>
      </c>
      <c r="WNO16" t="s">
        <v>188</v>
      </c>
      <c r="WNP16" t="s">
        <v>188</v>
      </c>
      <c r="WNQ16" t="s">
        <v>188</v>
      </c>
      <c r="WNR16" t="s">
        <v>188</v>
      </c>
      <c r="WNS16" t="s">
        <v>188</v>
      </c>
      <c r="WNT16" t="s">
        <v>188</v>
      </c>
      <c r="WNU16" t="s">
        <v>188</v>
      </c>
      <c r="WNV16" t="s">
        <v>188</v>
      </c>
      <c r="WNW16" t="s">
        <v>188</v>
      </c>
      <c r="WNX16" t="s">
        <v>188</v>
      </c>
      <c r="WNY16" t="s">
        <v>188</v>
      </c>
      <c r="WNZ16" t="s">
        <v>188</v>
      </c>
      <c r="WOA16" t="s">
        <v>188</v>
      </c>
      <c r="WOB16" t="s">
        <v>188</v>
      </c>
      <c r="WOC16" t="s">
        <v>188</v>
      </c>
      <c r="WOD16" t="s">
        <v>188</v>
      </c>
      <c r="WOE16" t="s">
        <v>188</v>
      </c>
      <c r="WOF16" t="s">
        <v>188</v>
      </c>
      <c r="WOG16" t="s">
        <v>188</v>
      </c>
      <c r="WOH16" t="s">
        <v>188</v>
      </c>
      <c r="WOI16" t="s">
        <v>188</v>
      </c>
      <c r="WOJ16" t="s">
        <v>188</v>
      </c>
      <c r="WOK16" t="s">
        <v>188</v>
      </c>
      <c r="WOL16" t="s">
        <v>188</v>
      </c>
      <c r="WOM16" t="s">
        <v>188</v>
      </c>
      <c r="WON16" t="s">
        <v>188</v>
      </c>
      <c r="WOO16" t="s">
        <v>188</v>
      </c>
      <c r="WOP16" t="s">
        <v>188</v>
      </c>
      <c r="WOQ16" t="s">
        <v>188</v>
      </c>
      <c r="WOR16" t="s">
        <v>188</v>
      </c>
      <c r="WOS16" t="s">
        <v>188</v>
      </c>
      <c r="WOT16" t="s">
        <v>188</v>
      </c>
      <c r="WOU16" t="s">
        <v>188</v>
      </c>
      <c r="WOV16" t="s">
        <v>188</v>
      </c>
      <c r="WOW16" t="s">
        <v>188</v>
      </c>
      <c r="WOX16" t="s">
        <v>188</v>
      </c>
      <c r="WOY16" t="s">
        <v>188</v>
      </c>
      <c r="WOZ16" t="s">
        <v>188</v>
      </c>
      <c r="WPA16" t="s">
        <v>188</v>
      </c>
      <c r="WPB16" t="s">
        <v>188</v>
      </c>
      <c r="WPC16" t="s">
        <v>188</v>
      </c>
      <c r="WPD16" t="s">
        <v>188</v>
      </c>
      <c r="WPE16" t="s">
        <v>188</v>
      </c>
      <c r="WPF16" t="s">
        <v>188</v>
      </c>
      <c r="WPG16" t="s">
        <v>188</v>
      </c>
      <c r="WPH16" t="s">
        <v>188</v>
      </c>
      <c r="WPI16" t="s">
        <v>188</v>
      </c>
      <c r="WPJ16" t="s">
        <v>188</v>
      </c>
      <c r="WPK16" t="s">
        <v>188</v>
      </c>
      <c r="WPL16" t="s">
        <v>188</v>
      </c>
      <c r="WPM16" t="s">
        <v>188</v>
      </c>
      <c r="WPN16" t="s">
        <v>188</v>
      </c>
      <c r="WPO16" t="s">
        <v>188</v>
      </c>
      <c r="WPP16" t="s">
        <v>188</v>
      </c>
      <c r="WPQ16" t="s">
        <v>188</v>
      </c>
      <c r="WPR16" t="s">
        <v>188</v>
      </c>
      <c r="WPS16" t="s">
        <v>188</v>
      </c>
      <c r="WPT16" t="s">
        <v>188</v>
      </c>
      <c r="WPU16" t="s">
        <v>188</v>
      </c>
      <c r="WPV16" t="s">
        <v>188</v>
      </c>
      <c r="WPW16" t="s">
        <v>188</v>
      </c>
      <c r="WPX16" t="s">
        <v>188</v>
      </c>
      <c r="WPY16" t="s">
        <v>188</v>
      </c>
      <c r="WPZ16" t="s">
        <v>188</v>
      </c>
      <c r="WQA16" t="s">
        <v>188</v>
      </c>
      <c r="WQB16" t="s">
        <v>188</v>
      </c>
      <c r="WQC16" t="s">
        <v>188</v>
      </c>
      <c r="WQD16" t="s">
        <v>188</v>
      </c>
      <c r="WQE16" t="s">
        <v>188</v>
      </c>
      <c r="WQF16" t="s">
        <v>188</v>
      </c>
      <c r="WQG16" t="s">
        <v>188</v>
      </c>
      <c r="WQH16" t="s">
        <v>188</v>
      </c>
      <c r="WQI16" t="s">
        <v>188</v>
      </c>
      <c r="WQJ16" t="s">
        <v>188</v>
      </c>
      <c r="WQK16" t="s">
        <v>188</v>
      </c>
      <c r="WQL16" t="s">
        <v>188</v>
      </c>
      <c r="WQM16" t="s">
        <v>188</v>
      </c>
      <c r="WQN16" t="s">
        <v>188</v>
      </c>
      <c r="WQO16" t="s">
        <v>188</v>
      </c>
      <c r="WQP16" t="s">
        <v>188</v>
      </c>
      <c r="WQQ16" t="s">
        <v>188</v>
      </c>
      <c r="WQR16" t="s">
        <v>188</v>
      </c>
      <c r="WQS16" t="s">
        <v>188</v>
      </c>
      <c r="WQT16" t="s">
        <v>188</v>
      </c>
      <c r="WQU16" t="s">
        <v>188</v>
      </c>
      <c r="WQV16" t="s">
        <v>188</v>
      </c>
      <c r="WQW16" t="s">
        <v>188</v>
      </c>
      <c r="WQX16" t="s">
        <v>188</v>
      </c>
      <c r="WQY16" t="s">
        <v>188</v>
      </c>
      <c r="WQZ16" t="s">
        <v>188</v>
      </c>
      <c r="WRA16" t="s">
        <v>188</v>
      </c>
      <c r="WRB16" t="s">
        <v>188</v>
      </c>
      <c r="WRC16" t="s">
        <v>188</v>
      </c>
      <c r="WRD16" t="s">
        <v>188</v>
      </c>
      <c r="WRE16" t="s">
        <v>188</v>
      </c>
      <c r="WRF16" t="s">
        <v>188</v>
      </c>
      <c r="WRG16" t="s">
        <v>188</v>
      </c>
      <c r="WRH16" t="s">
        <v>188</v>
      </c>
      <c r="WRI16" t="s">
        <v>188</v>
      </c>
      <c r="WRJ16" t="s">
        <v>188</v>
      </c>
      <c r="WRK16" t="s">
        <v>188</v>
      </c>
      <c r="WRL16" t="s">
        <v>188</v>
      </c>
      <c r="WRM16" t="s">
        <v>188</v>
      </c>
      <c r="WRN16" t="s">
        <v>188</v>
      </c>
      <c r="WRO16" t="s">
        <v>188</v>
      </c>
      <c r="WRP16" t="s">
        <v>188</v>
      </c>
      <c r="WRQ16" t="s">
        <v>188</v>
      </c>
      <c r="WRR16" t="s">
        <v>188</v>
      </c>
      <c r="WRS16" t="s">
        <v>188</v>
      </c>
      <c r="WRT16" t="s">
        <v>188</v>
      </c>
      <c r="WRU16" t="s">
        <v>188</v>
      </c>
      <c r="WRV16" t="s">
        <v>188</v>
      </c>
      <c r="WRW16" t="s">
        <v>188</v>
      </c>
      <c r="WRX16" t="s">
        <v>188</v>
      </c>
      <c r="WRY16" t="s">
        <v>188</v>
      </c>
      <c r="WRZ16" t="s">
        <v>188</v>
      </c>
      <c r="WSA16" t="s">
        <v>188</v>
      </c>
      <c r="WSB16" t="s">
        <v>188</v>
      </c>
      <c r="WSC16" t="s">
        <v>188</v>
      </c>
      <c r="WSD16" t="s">
        <v>188</v>
      </c>
      <c r="WSE16" t="s">
        <v>188</v>
      </c>
      <c r="WSF16" t="s">
        <v>188</v>
      </c>
      <c r="WSG16" t="s">
        <v>188</v>
      </c>
      <c r="WSH16" t="s">
        <v>188</v>
      </c>
      <c r="WSI16" t="s">
        <v>188</v>
      </c>
      <c r="WSJ16" t="s">
        <v>188</v>
      </c>
      <c r="WSK16" t="s">
        <v>188</v>
      </c>
      <c r="WSL16" t="s">
        <v>188</v>
      </c>
      <c r="WSM16" t="s">
        <v>188</v>
      </c>
      <c r="WSN16" t="s">
        <v>188</v>
      </c>
      <c r="WSO16" t="s">
        <v>188</v>
      </c>
      <c r="WSP16" t="s">
        <v>188</v>
      </c>
      <c r="WSQ16" t="s">
        <v>188</v>
      </c>
      <c r="WSR16" t="s">
        <v>188</v>
      </c>
      <c r="WSS16" t="s">
        <v>188</v>
      </c>
      <c r="WST16" t="s">
        <v>188</v>
      </c>
      <c r="WSU16" t="s">
        <v>188</v>
      </c>
      <c r="WSV16" t="s">
        <v>188</v>
      </c>
      <c r="WSW16" t="s">
        <v>188</v>
      </c>
      <c r="WSX16" t="s">
        <v>188</v>
      </c>
      <c r="WSY16" t="s">
        <v>188</v>
      </c>
      <c r="WSZ16" t="s">
        <v>188</v>
      </c>
      <c r="WTA16" t="s">
        <v>188</v>
      </c>
      <c r="WTB16" t="s">
        <v>188</v>
      </c>
      <c r="WTC16" t="s">
        <v>188</v>
      </c>
      <c r="WTD16" t="s">
        <v>188</v>
      </c>
      <c r="WTE16" t="s">
        <v>188</v>
      </c>
      <c r="WTF16" t="s">
        <v>188</v>
      </c>
      <c r="WTG16" t="s">
        <v>188</v>
      </c>
      <c r="WTH16" t="s">
        <v>188</v>
      </c>
      <c r="WTI16" t="s">
        <v>188</v>
      </c>
      <c r="WTJ16" t="s">
        <v>188</v>
      </c>
      <c r="WTK16" t="s">
        <v>188</v>
      </c>
      <c r="WTL16" t="s">
        <v>188</v>
      </c>
      <c r="WTM16" t="s">
        <v>188</v>
      </c>
      <c r="WTN16" t="s">
        <v>188</v>
      </c>
      <c r="WTO16" t="s">
        <v>188</v>
      </c>
      <c r="WTP16" t="s">
        <v>188</v>
      </c>
      <c r="WTQ16" t="s">
        <v>188</v>
      </c>
      <c r="WTR16" t="s">
        <v>188</v>
      </c>
      <c r="WTS16" t="s">
        <v>188</v>
      </c>
      <c r="WTT16" t="s">
        <v>188</v>
      </c>
      <c r="WTU16" t="s">
        <v>188</v>
      </c>
      <c r="WTV16" t="s">
        <v>188</v>
      </c>
      <c r="WTW16" t="s">
        <v>188</v>
      </c>
      <c r="WTX16" t="s">
        <v>188</v>
      </c>
      <c r="WTY16" t="s">
        <v>188</v>
      </c>
      <c r="WTZ16" t="s">
        <v>188</v>
      </c>
      <c r="WUA16" t="s">
        <v>188</v>
      </c>
      <c r="WUB16" t="s">
        <v>188</v>
      </c>
      <c r="WUC16" t="s">
        <v>188</v>
      </c>
      <c r="WUD16" t="s">
        <v>188</v>
      </c>
      <c r="WUE16" t="s">
        <v>188</v>
      </c>
      <c r="WUF16" t="s">
        <v>188</v>
      </c>
      <c r="WUG16" t="s">
        <v>188</v>
      </c>
      <c r="WUH16" t="s">
        <v>188</v>
      </c>
      <c r="WUI16" t="s">
        <v>188</v>
      </c>
      <c r="WUJ16" t="s">
        <v>188</v>
      </c>
      <c r="WUK16" t="s">
        <v>188</v>
      </c>
      <c r="WUL16" t="s">
        <v>188</v>
      </c>
      <c r="WUM16" t="s">
        <v>188</v>
      </c>
      <c r="WUN16" t="s">
        <v>188</v>
      </c>
      <c r="WUO16" t="s">
        <v>188</v>
      </c>
      <c r="WUP16" t="s">
        <v>188</v>
      </c>
      <c r="WUQ16" t="s">
        <v>188</v>
      </c>
      <c r="WUR16" t="s">
        <v>188</v>
      </c>
      <c r="WUS16" t="s">
        <v>188</v>
      </c>
      <c r="WUT16" t="s">
        <v>188</v>
      </c>
      <c r="WUU16" t="s">
        <v>188</v>
      </c>
      <c r="WUV16" t="s">
        <v>188</v>
      </c>
      <c r="WUW16" t="s">
        <v>188</v>
      </c>
      <c r="WUX16" t="s">
        <v>188</v>
      </c>
      <c r="WUY16" t="s">
        <v>188</v>
      </c>
      <c r="WUZ16" t="s">
        <v>188</v>
      </c>
      <c r="WVA16" t="s">
        <v>188</v>
      </c>
      <c r="WVB16" t="s">
        <v>188</v>
      </c>
      <c r="WVC16" t="s">
        <v>188</v>
      </c>
      <c r="WVD16" t="s">
        <v>188</v>
      </c>
      <c r="WVE16" t="s">
        <v>188</v>
      </c>
      <c r="WVF16" t="s">
        <v>188</v>
      </c>
      <c r="WVG16" t="s">
        <v>188</v>
      </c>
      <c r="WVH16" t="s">
        <v>188</v>
      </c>
      <c r="WVI16" t="s">
        <v>188</v>
      </c>
      <c r="WVJ16" t="s">
        <v>188</v>
      </c>
      <c r="WVK16" t="s">
        <v>188</v>
      </c>
      <c r="WVL16" t="s">
        <v>188</v>
      </c>
      <c r="WVM16" t="s">
        <v>188</v>
      </c>
      <c r="WVN16" t="s">
        <v>188</v>
      </c>
      <c r="WVO16" t="s">
        <v>188</v>
      </c>
      <c r="WVP16" t="s">
        <v>188</v>
      </c>
      <c r="WVQ16" t="s">
        <v>188</v>
      </c>
      <c r="WVR16" t="s">
        <v>188</v>
      </c>
      <c r="WVS16" t="s">
        <v>188</v>
      </c>
      <c r="WVT16" t="s">
        <v>188</v>
      </c>
      <c r="WVU16" t="s">
        <v>188</v>
      </c>
      <c r="WVV16" t="s">
        <v>188</v>
      </c>
      <c r="WVW16" t="s">
        <v>188</v>
      </c>
      <c r="WVX16" t="s">
        <v>188</v>
      </c>
      <c r="WVY16" t="s">
        <v>188</v>
      </c>
      <c r="WVZ16" t="s">
        <v>188</v>
      </c>
      <c r="WWA16" t="s">
        <v>188</v>
      </c>
      <c r="WWB16" t="s">
        <v>188</v>
      </c>
      <c r="WWC16" t="s">
        <v>188</v>
      </c>
      <c r="WWD16" t="s">
        <v>188</v>
      </c>
      <c r="WWE16" t="s">
        <v>188</v>
      </c>
      <c r="WWF16" t="s">
        <v>188</v>
      </c>
      <c r="WWG16" t="s">
        <v>188</v>
      </c>
      <c r="WWH16" t="s">
        <v>188</v>
      </c>
      <c r="WWI16" t="s">
        <v>188</v>
      </c>
      <c r="WWJ16" t="s">
        <v>188</v>
      </c>
      <c r="WWK16" t="s">
        <v>188</v>
      </c>
      <c r="WWL16" t="s">
        <v>188</v>
      </c>
      <c r="WWM16" t="s">
        <v>188</v>
      </c>
      <c r="WWN16" t="s">
        <v>188</v>
      </c>
      <c r="WWO16" t="s">
        <v>188</v>
      </c>
      <c r="WWP16" t="s">
        <v>188</v>
      </c>
      <c r="WWQ16" t="s">
        <v>188</v>
      </c>
      <c r="WWR16" t="s">
        <v>188</v>
      </c>
      <c r="WWS16" t="s">
        <v>188</v>
      </c>
      <c r="WWT16" t="s">
        <v>188</v>
      </c>
      <c r="WWU16" t="s">
        <v>188</v>
      </c>
      <c r="WWV16" t="s">
        <v>188</v>
      </c>
      <c r="WWW16" t="s">
        <v>188</v>
      </c>
      <c r="WWX16" t="s">
        <v>188</v>
      </c>
      <c r="WWY16" t="s">
        <v>188</v>
      </c>
      <c r="WWZ16" t="s">
        <v>188</v>
      </c>
      <c r="WXA16" t="s">
        <v>188</v>
      </c>
      <c r="WXB16" t="s">
        <v>188</v>
      </c>
      <c r="WXC16" t="s">
        <v>188</v>
      </c>
      <c r="WXD16" t="s">
        <v>188</v>
      </c>
      <c r="WXE16" t="s">
        <v>188</v>
      </c>
      <c r="WXF16" t="s">
        <v>188</v>
      </c>
      <c r="WXG16" t="s">
        <v>188</v>
      </c>
      <c r="WXH16" t="s">
        <v>188</v>
      </c>
      <c r="WXI16" t="s">
        <v>188</v>
      </c>
      <c r="WXJ16" t="s">
        <v>188</v>
      </c>
      <c r="WXK16" t="s">
        <v>188</v>
      </c>
      <c r="WXL16" t="s">
        <v>188</v>
      </c>
      <c r="WXM16" t="s">
        <v>188</v>
      </c>
      <c r="WXN16" t="s">
        <v>188</v>
      </c>
      <c r="WXO16" t="s">
        <v>188</v>
      </c>
      <c r="WXP16" t="s">
        <v>188</v>
      </c>
      <c r="WXQ16" t="s">
        <v>188</v>
      </c>
      <c r="WXR16" t="s">
        <v>188</v>
      </c>
      <c r="WXS16" t="s">
        <v>188</v>
      </c>
      <c r="WXT16" t="s">
        <v>188</v>
      </c>
      <c r="WXU16" t="s">
        <v>188</v>
      </c>
      <c r="WXV16" t="s">
        <v>188</v>
      </c>
      <c r="WXW16" t="s">
        <v>188</v>
      </c>
      <c r="WXX16" t="s">
        <v>188</v>
      </c>
      <c r="WXY16" t="s">
        <v>188</v>
      </c>
      <c r="WXZ16" t="s">
        <v>188</v>
      </c>
      <c r="WYA16" t="s">
        <v>188</v>
      </c>
      <c r="WYB16" t="s">
        <v>188</v>
      </c>
      <c r="WYC16" t="s">
        <v>188</v>
      </c>
      <c r="WYD16" t="s">
        <v>188</v>
      </c>
      <c r="WYE16" t="s">
        <v>188</v>
      </c>
      <c r="WYF16" t="s">
        <v>188</v>
      </c>
      <c r="WYG16" t="s">
        <v>188</v>
      </c>
      <c r="WYH16" t="s">
        <v>188</v>
      </c>
      <c r="WYI16" t="s">
        <v>188</v>
      </c>
      <c r="WYJ16" t="s">
        <v>188</v>
      </c>
      <c r="WYK16" t="s">
        <v>188</v>
      </c>
      <c r="WYL16" t="s">
        <v>188</v>
      </c>
      <c r="WYM16" t="s">
        <v>188</v>
      </c>
      <c r="WYN16" t="s">
        <v>188</v>
      </c>
      <c r="WYO16" t="s">
        <v>188</v>
      </c>
      <c r="WYP16" t="s">
        <v>188</v>
      </c>
      <c r="WYQ16" t="s">
        <v>188</v>
      </c>
      <c r="WYR16" t="s">
        <v>188</v>
      </c>
      <c r="WYS16" t="s">
        <v>188</v>
      </c>
      <c r="WYT16" t="s">
        <v>188</v>
      </c>
      <c r="WYU16" t="s">
        <v>188</v>
      </c>
      <c r="WYV16" t="s">
        <v>188</v>
      </c>
      <c r="WYW16" t="s">
        <v>188</v>
      </c>
      <c r="WYX16" t="s">
        <v>188</v>
      </c>
      <c r="WYY16" t="s">
        <v>188</v>
      </c>
      <c r="WYZ16" t="s">
        <v>188</v>
      </c>
      <c r="WZA16" t="s">
        <v>188</v>
      </c>
      <c r="WZB16" t="s">
        <v>188</v>
      </c>
      <c r="WZC16" t="s">
        <v>188</v>
      </c>
      <c r="WZD16" t="s">
        <v>188</v>
      </c>
      <c r="WZE16" t="s">
        <v>188</v>
      </c>
      <c r="WZF16" t="s">
        <v>188</v>
      </c>
      <c r="WZG16" t="s">
        <v>188</v>
      </c>
      <c r="WZH16" t="s">
        <v>188</v>
      </c>
      <c r="WZI16" t="s">
        <v>188</v>
      </c>
      <c r="WZJ16" t="s">
        <v>188</v>
      </c>
      <c r="WZK16" t="s">
        <v>188</v>
      </c>
      <c r="WZL16" t="s">
        <v>188</v>
      </c>
      <c r="WZM16" t="s">
        <v>188</v>
      </c>
      <c r="WZN16" t="s">
        <v>188</v>
      </c>
      <c r="WZO16" t="s">
        <v>188</v>
      </c>
      <c r="WZP16" t="s">
        <v>188</v>
      </c>
      <c r="WZQ16" t="s">
        <v>188</v>
      </c>
      <c r="WZR16" t="s">
        <v>188</v>
      </c>
      <c r="WZS16" t="s">
        <v>188</v>
      </c>
      <c r="WZT16" t="s">
        <v>188</v>
      </c>
      <c r="WZU16" t="s">
        <v>188</v>
      </c>
      <c r="WZV16" t="s">
        <v>188</v>
      </c>
      <c r="WZW16" t="s">
        <v>188</v>
      </c>
      <c r="WZX16" t="s">
        <v>188</v>
      </c>
      <c r="WZY16" t="s">
        <v>188</v>
      </c>
      <c r="WZZ16" t="s">
        <v>188</v>
      </c>
      <c r="XAA16" t="s">
        <v>188</v>
      </c>
      <c r="XAB16" t="s">
        <v>188</v>
      </c>
      <c r="XAC16" t="s">
        <v>188</v>
      </c>
      <c r="XAD16" t="s">
        <v>188</v>
      </c>
      <c r="XAE16" t="s">
        <v>188</v>
      </c>
      <c r="XAF16" t="s">
        <v>188</v>
      </c>
      <c r="XAG16" t="s">
        <v>188</v>
      </c>
      <c r="XAH16" t="s">
        <v>188</v>
      </c>
      <c r="XAI16" t="s">
        <v>188</v>
      </c>
      <c r="XAJ16" t="s">
        <v>188</v>
      </c>
      <c r="XAK16" t="s">
        <v>188</v>
      </c>
      <c r="XAL16" t="s">
        <v>188</v>
      </c>
      <c r="XAM16" t="s">
        <v>188</v>
      </c>
      <c r="XAN16" t="s">
        <v>188</v>
      </c>
      <c r="XAO16" t="s">
        <v>188</v>
      </c>
      <c r="XAP16" t="s">
        <v>188</v>
      </c>
      <c r="XAQ16" t="s">
        <v>188</v>
      </c>
      <c r="XAR16" t="s">
        <v>188</v>
      </c>
      <c r="XAS16" t="s">
        <v>188</v>
      </c>
      <c r="XAT16" t="s">
        <v>188</v>
      </c>
      <c r="XAU16" t="s">
        <v>188</v>
      </c>
      <c r="XAV16" t="s">
        <v>188</v>
      </c>
      <c r="XAW16" t="s">
        <v>188</v>
      </c>
      <c r="XAX16" t="s">
        <v>188</v>
      </c>
      <c r="XAY16" t="s">
        <v>188</v>
      </c>
      <c r="XAZ16" t="s">
        <v>188</v>
      </c>
      <c r="XBA16" t="s">
        <v>188</v>
      </c>
      <c r="XBB16" t="s">
        <v>188</v>
      </c>
      <c r="XBC16" t="s">
        <v>188</v>
      </c>
      <c r="XBD16" t="s">
        <v>188</v>
      </c>
      <c r="XBE16" t="s">
        <v>188</v>
      </c>
      <c r="XBF16" t="s">
        <v>188</v>
      </c>
      <c r="XBG16" t="s">
        <v>188</v>
      </c>
      <c r="XBH16" t="s">
        <v>188</v>
      </c>
      <c r="XBI16" t="s">
        <v>188</v>
      </c>
      <c r="XBJ16" t="s">
        <v>188</v>
      </c>
      <c r="XBK16" t="s">
        <v>188</v>
      </c>
      <c r="XBL16" t="s">
        <v>188</v>
      </c>
      <c r="XBM16" t="s">
        <v>188</v>
      </c>
      <c r="XBN16" t="s">
        <v>188</v>
      </c>
      <c r="XBO16" t="s">
        <v>188</v>
      </c>
      <c r="XBP16" t="s">
        <v>188</v>
      </c>
      <c r="XBQ16" t="s">
        <v>188</v>
      </c>
      <c r="XBR16" t="s">
        <v>188</v>
      </c>
      <c r="XBS16" t="s">
        <v>188</v>
      </c>
      <c r="XBT16" t="s">
        <v>188</v>
      </c>
      <c r="XBU16" t="s">
        <v>188</v>
      </c>
      <c r="XBV16" t="s">
        <v>188</v>
      </c>
      <c r="XBW16" t="s">
        <v>188</v>
      </c>
      <c r="XBX16" t="s">
        <v>188</v>
      </c>
      <c r="XBY16" t="s">
        <v>188</v>
      </c>
      <c r="XBZ16" t="s">
        <v>188</v>
      </c>
      <c r="XCA16" t="s">
        <v>188</v>
      </c>
      <c r="XCB16" t="s">
        <v>188</v>
      </c>
      <c r="XCC16" t="s">
        <v>188</v>
      </c>
      <c r="XCD16" t="s">
        <v>188</v>
      </c>
      <c r="XCE16" t="s">
        <v>188</v>
      </c>
      <c r="XCF16" t="s">
        <v>188</v>
      </c>
      <c r="XCG16" t="s">
        <v>188</v>
      </c>
      <c r="XCH16" t="s">
        <v>188</v>
      </c>
      <c r="XCI16" t="s">
        <v>188</v>
      </c>
      <c r="XCJ16" t="s">
        <v>188</v>
      </c>
      <c r="XCK16" t="s">
        <v>188</v>
      </c>
      <c r="XCL16" t="s">
        <v>188</v>
      </c>
      <c r="XCM16" t="s">
        <v>188</v>
      </c>
      <c r="XCN16" t="s">
        <v>188</v>
      </c>
      <c r="XCO16" t="s">
        <v>188</v>
      </c>
      <c r="XCP16" t="s">
        <v>188</v>
      </c>
      <c r="XCQ16" t="s">
        <v>188</v>
      </c>
      <c r="XCR16" t="s">
        <v>188</v>
      </c>
      <c r="XCS16" t="s">
        <v>188</v>
      </c>
      <c r="XCT16" t="s">
        <v>188</v>
      </c>
      <c r="XCU16" t="s">
        <v>188</v>
      </c>
      <c r="XCV16" t="s">
        <v>188</v>
      </c>
      <c r="XCW16" t="s">
        <v>188</v>
      </c>
      <c r="XCX16" t="s">
        <v>188</v>
      </c>
      <c r="XCY16" t="s">
        <v>188</v>
      </c>
      <c r="XCZ16" t="s">
        <v>188</v>
      </c>
      <c r="XDA16" t="s">
        <v>188</v>
      </c>
      <c r="XDB16" t="s">
        <v>188</v>
      </c>
      <c r="XDC16" t="s">
        <v>188</v>
      </c>
      <c r="XDD16" t="s">
        <v>188</v>
      </c>
      <c r="XDE16" t="s">
        <v>188</v>
      </c>
      <c r="XDF16" t="s">
        <v>188</v>
      </c>
      <c r="XDG16" t="s">
        <v>188</v>
      </c>
      <c r="XDH16" t="s">
        <v>188</v>
      </c>
      <c r="XDI16" t="s">
        <v>188</v>
      </c>
      <c r="XDJ16" t="s">
        <v>188</v>
      </c>
      <c r="XDK16" t="s">
        <v>188</v>
      </c>
      <c r="XDL16" t="s">
        <v>188</v>
      </c>
      <c r="XDM16" t="s">
        <v>188</v>
      </c>
      <c r="XDN16" t="s">
        <v>188</v>
      </c>
      <c r="XDO16" t="s">
        <v>188</v>
      </c>
      <c r="XDP16" t="s">
        <v>188</v>
      </c>
      <c r="XDQ16" t="s">
        <v>188</v>
      </c>
      <c r="XDR16" t="s">
        <v>188</v>
      </c>
      <c r="XDS16" t="s">
        <v>188</v>
      </c>
      <c r="XDT16" t="s">
        <v>188</v>
      </c>
      <c r="XDU16" t="s">
        <v>188</v>
      </c>
      <c r="XDV16" t="s">
        <v>188</v>
      </c>
      <c r="XDW16" t="s">
        <v>188</v>
      </c>
      <c r="XDX16" t="s">
        <v>188</v>
      </c>
      <c r="XDY16" t="s">
        <v>188</v>
      </c>
      <c r="XDZ16" t="s">
        <v>188</v>
      </c>
      <c r="XEA16" t="s">
        <v>188</v>
      </c>
      <c r="XEB16" t="s">
        <v>188</v>
      </c>
      <c r="XEC16" t="s">
        <v>188</v>
      </c>
      <c r="XED16" t="s">
        <v>188</v>
      </c>
      <c r="XEE16" t="s">
        <v>188</v>
      </c>
      <c r="XEF16" t="s">
        <v>188</v>
      </c>
      <c r="XEG16" t="s">
        <v>188</v>
      </c>
      <c r="XEH16" t="s">
        <v>188</v>
      </c>
      <c r="XEI16" t="s">
        <v>188</v>
      </c>
      <c r="XEJ16" t="s">
        <v>188</v>
      </c>
      <c r="XEK16" t="s">
        <v>188</v>
      </c>
      <c r="XEL16" t="s">
        <v>188</v>
      </c>
      <c r="XEM16" t="s">
        <v>188</v>
      </c>
      <c r="XEN16" t="s">
        <v>188</v>
      </c>
      <c r="XEO16" t="s">
        <v>188</v>
      </c>
      <c r="XEP16" t="s">
        <v>188</v>
      </c>
      <c r="XEQ16" t="s">
        <v>188</v>
      </c>
      <c r="XER16" t="s">
        <v>188</v>
      </c>
      <c r="XES16" t="s">
        <v>188</v>
      </c>
      <c r="XET16" t="s">
        <v>188</v>
      </c>
      <c r="XEU16" t="s">
        <v>188</v>
      </c>
      <c r="XEV16" t="e">
        <v>#REF!</v>
      </c>
      <c r="XEW16" t="e">
        <v>#REF!</v>
      </c>
      <c r="XEX16" t="e">
        <v>#REF!</v>
      </c>
      <c r="XEY16" t="e">
        <v>#REF!</v>
      </c>
      <c r="XEZ16" t="e">
        <v>#REF!</v>
      </c>
      <c r="XFA16" t="e">
        <v>#REF!</v>
      </c>
      <c r="XFB16" t="e">
        <v>#REF!</v>
      </c>
      <c r="XFC16" t="e">
        <v>#REF!</v>
      </c>
      <c r="XFD16" t="e">
        <v>#REF!</v>
      </c>
    </row>
    <row r="17" spans="1:3" ht="30" x14ac:dyDescent="0.25">
      <c r="A17" s="19" t="s">
        <v>187</v>
      </c>
    </row>
    <row r="18" spans="1:3" x14ac:dyDescent="0.25">
      <c r="A18" s="19" t="s">
        <v>71</v>
      </c>
    </row>
    <row r="19" spans="1:3" x14ac:dyDescent="0.25">
      <c r="A19" s="56" t="s">
        <v>182</v>
      </c>
    </row>
    <row r="20" spans="1:3" x14ac:dyDescent="0.25">
      <c r="A20" s="19" t="s">
        <v>75</v>
      </c>
    </row>
    <row r="21" spans="1:3" x14ac:dyDescent="0.25">
      <c r="A21" s="19" t="s">
        <v>77</v>
      </c>
    </row>
    <row r="22" spans="1:3" x14ac:dyDescent="0.25">
      <c r="A22" s="19" t="s">
        <v>80</v>
      </c>
    </row>
    <row r="23" spans="1:3" ht="30" x14ac:dyDescent="0.25">
      <c r="A23" s="19" t="s">
        <v>78</v>
      </c>
    </row>
    <row r="24" spans="1:3" s="37" customFormat="1" ht="30" x14ac:dyDescent="0.25">
      <c r="A24" s="19" t="s">
        <v>199</v>
      </c>
      <c r="C24"/>
    </row>
    <row r="25" spans="1:3" x14ac:dyDescent="0.25">
      <c r="A25" s="19" t="s">
        <v>73</v>
      </c>
    </row>
    <row r="26" spans="1:3" x14ac:dyDescent="0.25">
      <c r="A26" s="19" t="s">
        <v>81</v>
      </c>
    </row>
    <row r="27" spans="1:3" x14ac:dyDescent="0.25">
      <c r="A27" s="19" t="s">
        <v>94</v>
      </c>
    </row>
    <row r="28" spans="1:3" s="55" customFormat="1" x14ac:dyDescent="0.25">
      <c r="A28" s="19" t="s">
        <v>85</v>
      </c>
    </row>
    <row r="29" spans="1:3" x14ac:dyDescent="0.25">
      <c r="A29" s="19" t="s">
        <v>74</v>
      </c>
    </row>
    <row r="30" spans="1:3" x14ac:dyDescent="0.25">
      <c r="A30" s="18" t="s">
        <v>95</v>
      </c>
    </row>
    <row r="31" spans="1:3" ht="30" x14ac:dyDescent="0.25">
      <c r="A31" s="19" t="s">
        <v>193</v>
      </c>
    </row>
    <row r="32" spans="1:3" ht="45" x14ac:dyDescent="0.25">
      <c r="A32" s="19" t="s">
        <v>191</v>
      </c>
    </row>
    <row r="33" spans="1:1" x14ac:dyDescent="0.25">
      <c r="A33" s="19" t="s">
        <v>192</v>
      </c>
    </row>
    <row r="34" spans="1:1" ht="60" x14ac:dyDescent="0.25">
      <c r="A34" s="20" t="s">
        <v>96</v>
      </c>
    </row>
    <row r="35" spans="1:1" ht="30" customHeight="1" x14ac:dyDescent="0.25">
      <c r="A35" s="20" t="s">
        <v>91</v>
      </c>
    </row>
    <row r="36" spans="1:1" x14ac:dyDescent="0.25">
      <c r="A36" s="20" t="s">
        <v>88</v>
      </c>
    </row>
    <row r="37" spans="1:1" x14ac:dyDescent="0.25">
      <c r="A37" s="20" t="s">
        <v>89</v>
      </c>
    </row>
    <row r="38" spans="1:1" x14ac:dyDescent="0.25">
      <c r="A38" s="20" t="s">
        <v>97</v>
      </c>
    </row>
    <row r="39" spans="1:1" x14ac:dyDescent="0.25">
      <c r="A39" s="20" t="s">
        <v>92</v>
      </c>
    </row>
    <row r="40" spans="1:1" x14ac:dyDescent="0.25">
      <c r="A40" s="43" t="s">
        <v>146</v>
      </c>
    </row>
    <row r="41" spans="1:1" x14ac:dyDescent="0.25">
      <c r="A41" s="58" t="s">
        <v>194</v>
      </c>
    </row>
    <row r="42" spans="1:1" x14ac:dyDescent="0.25">
      <c r="A42" s="44" t="s">
        <v>148</v>
      </c>
    </row>
    <row r="43" spans="1:1" ht="30" customHeight="1" x14ac:dyDescent="0.25">
      <c r="A43" s="48" t="s">
        <v>149</v>
      </c>
    </row>
    <row r="44" spans="1:1" x14ac:dyDescent="0.25">
      <c r="A44" s="59" t="s">
        <v>195</v>
      </c>
    </row>
    <row r="45" spans="1:1" x14ac:dyDescent="0.25">
      <c r="A45" s="45" t="s">
        <v>150</v>
      </c>
    </row>
    <row r="46" spans="1:1" x14ac:dyDescent="0.25">
      <c r="A46" s="45" t="s">
        <v>151</v>
      </c>
    </row>
    <row r="47" spans="1:1" x14ac:dyDescent="0.25">
      <c r="A47" s="45" t="s">
        <v>152</v>
      </c>
    </row>
    <row r="48" spans="1:1" x14ac:dyDescent="0.25">
      <c r="A48" s="45" t="s">
        <v>135</v>
      </c>
    </row>
    <row r="49" spans="1:1" x14ac:dyDescent="0.25">
      <c r="A49" s="45" t="s">
        <v>153</v>
      </c>
    </row>
    <row r="50" spans="1:1" x14ac:dyDescent="0.25">
      <c r="A50" s="45" t="s">
        <v>154</v>
      </c>
    </row>
    <row r="51" spans="1:1" ht="30" x14ac:dyDescent="0.25">
      <c r="A51" s="46" t="s">
        <v>136</v>
      </c>
    </row>
    <row r="52" spans="1:1" x14ac:dyDescent="0.25">
      <c r="A52" s="46" t="s">
        <v>137</v>
      </c>
    </row>
    <row r="53" spans="1:1" x14ac:dyDescent="0.25">
      <c r="A53" s="46" t="s">
        <v>138</v>
      </c>
    </row>
    <row r="54" spans="1:1" ht="30" x14ac:dyDescent="0.25">
      <c r="A54" s="46" t="s">
        <v>139</v>
      </c>
    </row>
    <row r="55" spans="1:1" x14ac:dyDescent="0.25">
      <c r="A55" s="46" t="s">
        <v>144</v>
      </c>
    </row>
    <row r="56" spans="1:1" x14ac:dyDescent="0.25">
      <c r="A56" s="45" t="s">
        <v>155</v>
      </c>
    </row>
    <row r="57" spans="1:1" x14ac:dyDescent="0.25">
      <c r="A57" s="46" t="s">
        <v>140</v>
      </c>
    </row>
    <row r="58" spans="1:1" x14ac:dyDescent="0.25">
      <c r="A58" s="46" t="s">
        <v>141</v>
      </c>
    </row>
    <row r="59" spans="1:1" ht="30" x14ac:dyDescent="0.25">
      <c r="A59" s="46" t="s">
        <v>142</v>
      </c>
    </row>
    <row r="60" spans="1:1" x14ac:dyDescent="0.25">
      <c r="A60" s="47" t="s">
        <v>143</v>
      </c>
    </row>
    <row r="61" spans="1:1" x14ac:dyDescent="0.25">
      <c r="A61" s="59" t="s">
        <v>196</v>
      </c>
    </row>
    <row r="62" spans="1:1" x14ac:dyDescent="0.25">
      <c r="A62" s="44" t="s">
        <v>156</v>
      </c>
    </row>
    <row r="63" spans="1:1" ht="30" x14ac:dyDescent="0.25">
      <c r="A63" s="48" t="s">
        <v>157</v>
      </c>
    </row>
    <row r="64" spans="1:1" x14ac:dyDescent="0.25">
      <c r="A64" s="59" t="s">
        <v>197</v>
      </c>
    </row>
    <row r="65" spans="1:1" x14ac:dyDescent="0.25">
      <c r="A65" s="44" t="s">
        <v>147</v>
      </c>
    </row>
    <row r="66" spans="1:1" ht="30" customHeight="1" x14ac:dyDescent="0.25">
      <c r="A66" s="48" t="s">
        <v>158</v>
      </c>
    </row>
    <row r="67" spans="1:1" ht="30" x14ac:dyDescent="0.25">
      <c r="A67" s="58" t="s">
        <v>198</v>
      </c>
    </row>
    <row r="68" spans="1:1" x14ac:dyDescent="0.25">
      <c r="A68" s="44" t="s">
        <v>147</v>
      </c>
    </row>
    <row r="69" spans="1:1" ht="30" customHeight="1" x14ac:dyDescent="0.25">
      <c r="A69" s="48" t="s">
        <v>158</v>
      </c>
    </row>
    <row r="70" spans="1:1" x14ac:dyDescent="0.25">
      <c r="A70" s="56" t="s">
        <v>189</v>
      </c>
    </row>
    <row r="71" spans="1:1" ht="30" x14ac:dyDescent="0.25">
      <c r="A71" s="19" t="s">
        <v>98</v>
      </c>
    </row>
    <row r="72" spans="1:1" x14ac:dyDescent="0.25">
      <c r="A72" s="19" t="s">
        <v>190</v>
      </c>
    </row>
    <row r="73" spans="1:1" x14ac:dyDescent="0.25">
      <c r="A73" s="56" t="s">
        <v>183</v>
      </c>
    </row>
    <row r="74" spans="1:1" x14ac:dyDescent="0.25">
      <c r="A74" s="19" t="s">
        <v>159</v>
      </c>
    </row>
    <row r="75" spans="1:1" x14ac:dyDescent="0.25">
      <c r="A75" s="19" t="s">
        <v>52</v>
      </c>
    </row>
    <row r="76" spans="1:1" x14ac:dyDescent="0.25">
      <c r="A76" s="19" t="s">
        <v>69</v>
      </c>
    </row>
    <row r="77" spans="1:1" x14ac:dyDescent="0.25">
      <c r="A77" s="19" t="s">
        <v>86</v>
      </c>
    </row>
    <row r="78" spans="1:1" x14ac:dyDescent="0.25">
      <c r="A78" s="19" t="s">
        <v>87</v>
      </c>
    </row>
    <row r="79" spans="1:1" x14ac:dyDescent="0.25">
      <c r="A79" s="19" t="s">
        <v>160</v>
      </c>
    </row>
    <row r="80" spans="1:1" x14ac:dyDescent="0.25">
      <c r="A80" s="6" t="s">
        <v>200</v>
      </c>
    </row>
    <row r="81" spans="1:1" x14ac:dyDescent="0.25">
      <c r="A81" s="6" t="s">
        <v>201</v>
      </c>
    </row>
  </sheetData>
  <printOptions horizontalCentered="1"/>
  <pageMargins left="0.3" right="0.3" top="0.4" bottom="0.6" header="0.3" footer="0.3"/>
  <pageSetup scale="94" fitToHeight="0" orientation="portrait" r:id="rId1"/>
  <headerFooter>
    <oddFooter>&amp;L&amp;D&amp;CPage &amp;P of &amp;N&amp;R&amp;A - Excel Basics 01</oddFooter>
  </headerFooter>
  <rowBreaks count="2" manualBreakCount="2">
    <brk id="39" man="1"/>
    <brk id="8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0A54-6450-422A-BD93-6756D61CDB31}">
  <sheetPr>
    <tabColor rgb="FFFFFF00"/>
  </sheetPr>
  <dimension ref="B1:Q65"/>
  <sheetViews>
    <sheetView workbookViewId="0">
      <selection activeCell="Q36" sqref="Q36"/>
    </sheetView>
  </sheetViews>
  <sheetFormatPr defaultRowHeight="15" x14ac:dyDescent="0.25"/>
  <cols>
    <col min="1" max="1" width="1.28515625" customWidth="1"/>
    <col min="2" max="2" width="11.7109375" customWidth="1"/>
    <col min="3" max="10" width="6.28515625" customWidth="1"/>
    <col min="11" max="11" width="10.7109375" customWidth="1"/>
    <col min="14" max="14" width="13.42578125" customWidth="1"/>
    <col min="15" max="15" width="1.28515625" customWidth="1"/>
    <col min="17" max="17" width="13.42578125" customWidth="1"/>
  </cols>
  <sheetData>
    <row r="1" spans="2:17" x14ac:dyDescent="0.25">
      <c r="K1" s="40" t="s">
        <v>145</v>
      </c>
    </row>
    <row r="2" spans="2:17" x14ac:dyDescent="0.25">
      <c r="K2" s="6">
        <v>5</v>
      </c>
    </row>
    <row r="3" spans="2:17" ht="4.9000000000000004" customHeight="1" x14ac:dyDescent="0.25"/>
    <row r="4" spans="2:17" x14ac:dyDescent="0.25">
      <c r="K4" s="40" t="s">
        <v>63</v>
      </c>
    </row>
    <row r="5" spans="2:17" x14ac:dyDescent="0.25">
      <c r="B5" s="40" t="s">
        <v>134</v>
      </c>
      <c r="C5" s="6">
        <v>100</v>
      </c>
      <c r="D5" s="6">
        <v>100</v>
      </c>
      <c r="E5" s="6">
        <v>100</v>
      </c>
      <c r="F5" s="6">
        <v>100</v>
      </c>
      <c r="G5" s="6">
        <v>30</v>
      </c>
      <c r="H5" s="6">
        <v>30</v>
      </c>
      <c r="I5" s="6">
        <v>30</v>
      </c>
      <c r="J5" s="6">
        <v>30</v>
      </c>
      <c r="K5" s="7">
        <f>SUM(C5:J5)</f>
        <v>520</v>
      </c>
    </row>
    <row r="6" spans="2:17" ht="4.9000000000000004" customHeight="1" x14ac:dyDescent="0.25"/>
    <row r="7" spans="2:17" x14ac:dyDescent="0.25">
      <c r="B7" s="40" t="s">
        <v>133</v>
      </c>
      <c r="C7" s="40" t="s">
        <v>41</v>
      </c>
      <c r="D7" s="40" t="s">
        <v>42</v>
      </c>
      <c r="E7" s="40" t="s">
        <v>43</v>
      </c>
      <c r="F7" s="40" t="s">
        <v>44</v>
      </c>
      <c r="G7" s="40" t="s">
        <v>48</v>
      </c>
      <c r="H7" s="40" t="s">
        <v>49</v>
      </c>
      <c r="I7" s="40" t="s">
        <v>50</v>
      </c>
      <c r="J7" s="40" t="s">
        <v>51</v>
      </c>
      <c r="K7" s="40" t="s">
        <v>63</v>
      </c>
      <c r="L7" s="40" t="s">
        <v>64</v>
      </c>
      <c r="M7" s="40" t="s">
        <v>64</v>
      </c>
      <c r="N7" s="40" t="s">
        <v>79</v>
      </c>
      <c r="P7" s="40" t="s">
        <v>64</v>
      </c>
      <c r="Q7" s="40" t="s">
        <v>79</v>
      </c>
    </row>
    <row r="8" spans="2:17" x14ac:dyDescent="0.25">
      <c r="B8" s="6" t="s">
        <v>35</v>
      </c>
      <c r="C8" s="6">
        <v>88</v>
      </c>
      <c r="D8" s="6">
        <v>87</v>
      </c>
      <c r="E8" s="6">
        <v>92</v>
      </c>
      <c r="F8" s="6">
        <v>100</v>
      </c>
      <c r="G8" s="6">
        <v>25</v>
      </c>
      <c r="H8" s="6">
        <v>21</v>
      </c>
      <c r="I8" s="6">
        <v>29</v>
      </c>
      <c r="J8" s="6">
        <v>29</v>
      </c>
      <c r="K8" s="7">
        <f>SUM(C8:J8)+$K$2</f>
        <v>476</v>
      </c>
      <c r="L8" s="7">
        <f>ROUND(K8/$K$5,4)</f>
        <v>0.91539999999999999</v>
      </c>
      <c r="M8" s="7" cm="1">
        <f t="array" ref="M8:M13">ROUND(K8:K13/K5,4)</f>
        <v>0.91539999999999999</v>
      </c>
      <c r="N8" s="7" cm="1">
        <f t="array" ref="N8:N13">_xlfn.XLOOKUP(_xlfn.ANCHORARRAY(M8),P8:P42,Q8:Q42,,-1)</f>
        <v>3.7</v>
      </c>
      <c r="P8" s="6">
        <v>0</v>
      </c>
      <c r="Q8" s="6">
        <v>0</v>
      </c>
    </row>
    <row r="9" spans="2:17" x14ac:dyDescent="0.25">
      <c r="B9" s="6" t="s">
        <v>36</v>
      </c>
      <c r="C9" s="6">
        <v>78</v>
      </c>
      <c r="D9" s="6">
        <v>78</v>
      </c>
      <c r="E9" s="6">
        <v>87</v>
      </c>
      <c r="F9" s="6">
        <v>91</v>
      </c>
      <c r="G9" s="6">
        <v>24</v>
      </c>
      <c r="H9" s="6">
        <v>22</v>
      </c>
      <c r="I9" s="6">
        <v>30</v>
      </c>
      <c r="J9" s="6">
        <v>14</v>
      </c>
      <c r="K9" s="7">
        <f t="shared" ref="K9:K13" si="0">SUM(C9:J9)+$K$2</f>
        <v>429</v>
      </c>
      <c r="L9" s="7">
        <f t="shared" ref="L9:L13" si="1">ROUND(K9/$K$5,4)</f>
        <v>0.82499999999999996</v>
      </c>
      <c r="M9" s="7">
        <v>0.82499999999999996</v>
      </c>
      <c r="N9" s="7">
        <v>2.8</v>
      </c>
      <c r="P9" s="6">
        <v>0.61</v>
      </c>
      <c r="Q9" s="6">
        <v>0.7</v>
      </c>
    </row>
    <row r="10" spans="2:17" x14ac:dyDescent="0.25">
      <c r="B10" s="6" t="s">
        <v>37</v>
      </c>
      <c r="C10" s="6">
        <v>99</v>
      </c>
      <c r="D10" s="6">
        <v>92</v>
      </c>
      <c r="E10" s="6">
        <v>100</v>
      </c>
      <c r="F10" s="6">
        <v>99</v>
      </c>
      <c r="G10" s="6">
        <v>25</v>
      </c>
      <c r="H10" s="6">
        <v>25</v>
      </c>
      <c r="I10" s="6">
        <v>30</v>
      </c>
      <c r="J10" s="6">
        <v>28</v>
      </c>
      <c r="K10" s="7">
        <f t="shared" si="0"/>
        <v>503</v>
      </c>
      <c r="L10" s="7">
        <f t="shared" si="1"/>
        <v>0.96730000000000005</v>
      </c>
      <c r="M10" s="7">
        <v>0.96730000000000005</v>
      </c>
      <c r="N10" s="7">
        <v>4</v>
      </c>
      <c r="P10" s="6">
        <v>0.62</v>
      </c>
      <c r="Q10" s="6">
        <v>0.8</v>
      </c>
    </row>
    <row r="11" spans="2:17" x14ac:dyDescent="0.25">
      <c r="B11" s="6" t="s">
        <v>38</v>
      </c>
      <c r="C11" s="6">
        <v>100</v>
      </c>
      <c r="D11" s="6">
        <v>91</v>
      </c>
      <c r="E11" s="6">
        <v>100</v>
      </c>
      <c r="F11" s="6">
        <v>98</v>
      </c>
      <c r="G11" s="6">
        <v>26</v>
      </c>
      <c r="H11" s="6">
        <v>24</v>
      </c>
      <c r="I11" s="6">
        <v>30</v>
      </c>
      <c r="J11" s="6">
        <v>27</v>
      </c>
      <c r="K11" s="7">
        <f t="shared" si="0"/>
        <v>501</v>
      </c>
      <c r="L11" s="7">
        <f t="shared" si="1"/>
        <v>0.96350000000000002</v>
      </c>
      <c r="M11" s="7">
        <v>0.96350000000000002</v>
      </c>
      <c r="N11" s="7">
        <v>4</v>
      </c>
      <c r="P11" s="6">
        <v>0.63</v>
      </c>
      <c r="Q11" s="6">
        <v>0.9</v>
      </c>
    </row>
    <row r="12" spans="2:17" x14ac:dyDescent="0.25">
      <c r="B12" s="6" t="s">
        <v>39</v>
      </c>
      <c r="C12" s="6">
        <v>92</v>
      </c>
      <c r="D12" s="6">
        <v>98</v>
      </c>
      <c r="E12" s="6">
        <v>99</v>
      </c>
      <c r="F12" s="6">
        <v>90</v>
      </c>
      <c r="G12" s="6">
        <v>21</v>
      </c>
      <c r="H12" s="6">
        <v>19</v>
      </c>
      <c r="I12" s="6">
        <v>30</v>
      </c>
      <c r="J12" s="6">
        <v>29</v>
      </c>
      <c r="K12" s="7">
        <f t="shared" si="0"/>
        <v>483</v>
      </c>
      <c r="L12" s="7">
        <f t="shared" si="1"/>
        <v>0.92879999999999996</v>
      </c>
      <c r="M12" s="7">
        <v>0.92879999999999996</v>
      </c>
      <c r="N12" s="7">
        <v>3.8</v>
      </c>
      <c r="P12" s="6">
        <v>0.64</v>
      </c>
      <c r="Q12" s="6">
        <v>1</v>
      </c>
    </row>
    <row r="13" spans="2:17" x14ac:dyDescent="0.25">
      <c r="B13" s="6" t="s">
        <v>40</v>
      </c>
      <c r="C13" s="6">
        <v>95</v>
      </c>
      <c r="D13" s="6">
        <v>87</v>
      </c>
      <c r="E13" s="6">
        <v>97</v>
      </c>
      <c r="F13" s="6">
        <v>84</v>
      </c>
      <c r="G13" s="6">
        <v>25</v>
      </c>
      <c r="H13" s="6">
        <v>18</v>
      </c>
      <c r="I13" s="6">
        <v>30</v>
      </c>
      <c r="J13" s="6">
        <v>30</v>
      </c>
      <c r="K13" s="7">
        <f t="shared" si="0"/>
        <v>471</v>
      </c>
      <c r="L13" s="7">
        <f t="shared" si="1"/>
        <v>0.90580000000000005</v>
      </c>
      <c r="M13" s="7">
        <v>0.90580000000000005</v>
      </c>
      <c r="N13" s="7">
        <v>3.6</v>
      </c>
      <c r="P13" s="6">
        <v>0.65</v>
      </c>
      <c r="Q13" s="6">
        <v>1.1000000000000001</v>
      </c>
    </row>
    <row r="14" spans="2:17" x14ac:dyDescent="0.25">
      <c r="B14" s="40" t="s">
        <v>70</v>
      </c>
      <c r="C14" s="41">
        <f>AVERAGE(C8:C13)</f>
        <v>92</v>
      </c>
      <c r="D14" s="41">
        <f t="shared" ref="D14:N14" si="2">AVERAGE(D8:D13)</f>
        <v>88.833333333333329</v>
      </c>
      <c r="E14" s="41">
        <f t="shared" si="2"/>
        <v>95.833333333333329</v>
      </c>
      <c r="F14" s="41">
        <f t="shared" si="2"/>
        <v>93.666666666666671</v>
      </c>
      <c r="G14" s="41">
        <f t="shared" si="2"/>
        <v>24.333333333333332</v>
      </c>
      <c r="H14" s="41">
        <f t="shared" si="2"/>
        <v>21.5</v>
      </c>
      <c r="I14" s="41">
        <f t="shared" si="2"/>
        <v>29.833333333333332</v>
      </c>
      <c r="J14" s="41">
        <f t="shared" si="2"/>
        <v>26.166666666666668</v>
      </c>
      <c r="K14" s="41">
        <f t="shared" si="2"/>
        <v>477.16666666666669</v>
      </c>
      <c r="L14" s="42">
        <f t="shared" si="2"/>
        <v>0.9176333333333333</v>
      </c>
      <c r="M14" s="42">
        <f t="shared" si="2"/>
        <v>0.9176333333333333</v>
      </c>
      <c r="N14" s="7">
        <f t="shared" si="2"/>
        <v>3.6500000000000004</v>
      </c>
      <c r="P14" s="6">
        <v>0.66</v>
      </c>
      <c r="Q14" s="6">
        <v>1.2</v>
      </c>
    </row>
    <row r="15" spans="2:17" x14ac:dyDescent="0.25">
      <c r="P15" s="6">
        <v>0.67</v>
      </c>
      <c r="Q15" s="6">
        <v>1.3</v>
      </c>
    </row>
    <row r="16" spans="2:17" x14ac:dyDescent="0.25">
      <c r="B16" t="str">
        <f ca="1">"Formula in cell "&amp;ADDRESS(ROW(K5),COLUMN(K5),4)&amp;": "&amp;_xlfn.FORMULATEXT(K5)</f>
        <v>Formula in cell K5: =SUM(C5:J5)</v>
      </c>
      <c r="P16" s="6">
        <v>0.68</v>
      </c>
      <c r="Q16" s="6">
        <v>1.4</v>
      </c>
    </row>
    <row r="17" spans="2:17" x14ac:dyDescent="0.25">
      <c r="B17" t="str" cm="1">
        <f t="array" aca="1" ref="B17:B20" ca="1">_xlfn.TOCOL("Formula in cell "&amp;ADDRESS(ROW(K8:N8),COLUMN(K8:N8),4)&amp;": "&amp;_xlfn.FORMULATEXT(K8:N8))</f>
        <v>Formula in cell K8: =SUM(C8:J8)+$K$2</v>
      </c>
      <c r="I17" s="4" t="s">
        <v>175</v>
      </c>
      <c r="J17" t="str" cm="1">
        <f t="array" aca="1" ref="J17" ca="1">_xlfn.TOCOL("Formula in cell "&amp;ADDRESS(ROW(K8),COLUMN(K8),4)&amp;": "&amp;_xlfn.FORMULATEXT(B59))</f>
        <v>Formula in cell K8: =BYROW(C8:J13,SUM)</v>
      </c>
      <c r="P17" s="6">
        <v>0.69</v>
      </c>
      <c r="Q17" s="6">
        <v>1.5</v>
      </c>
    </row>
    <row r="18" spans="2:17" x14ac:dyDescent="0.25">
      <c r="B18" t="str">
        <f ca="1"/>
        <v>Formula in cell L8: =ROUND(K8/$K$5,4)</v>
      </c>
      <c r="P18" s="6">
        <v>0.7</v>
      </c>
      <c r="Q18" s="6">
        <v>1.6</v>
      </c>
    </row>
    <row r="19" spans="2:17" x14ac:dyDescent="0.25">
      <c r="B19" t="str">
        <f ca="1"/>
        <v>Formula in cell M8: =ROUND(K8:K13/K5,4)</v>
      </c>
      <c r="P19" s="6">
        <v>0.71</v>
      </c>
      <c r="Q19" s="6">
        <v>1.7</v>
      </c>
    </row>
    <row r="20" spans="2:17" x14ac:dyDescent="0.25">
      <c r="B20" t="str">
        <f ca="1"/>
        <v>Formula in cell N8: =XLOOKUP(M8#,P8:P42,Q8:Q42,,-1)</v>
      </c>
      <c r="P20" s="6">
        <v>0.72</v>
      </c>
      <c r="Q20" s="6">
        <v>1.8</v>
      </c>
    </row>
    <row r="21" spans="2:17" x14ac:dyDescent="0.25">
      <c r="B21" t="str">
        <f ca="1">"Formula in cell "&amp;ADDRESS(ROW(C14),COLUMN(C14),4)&amp;": "&amp;_xlfn.FORMULATEXT(C14)</f>
        <v>Formula in cell C14: =AVERAGE(C8:C13)</v>
      </c>
      <c r="I21" s="4" t="s">
        <v>175</v>
      </c>
      <c r="J21" t="str">
        <f ca="1">"Formula in cell "&amp;ADDRESS(ROW(C14),COLUMN(C14),4)&amp;": "&amp;_xlfn.FORMULATEXT(C56)</f>
        <v>Formula in cell C14: =BYCOL(C8:N13,AVERAGE)</v>
      </c>
      <c r="P21" s="6">
        <v>0.73</v>
      </c>
      <c r="Q21" s="6">
        <v>1.9</v>
      </c>
    </row>
    <row r="22" spans="2:17" x14ac:dyDescent="0.25">
      <c r="P22" s="6">
        <v>0.74</v>
      </c>
      <c r="Q22" s="6">
        <v>2</v>
      </c>
    </row>
    <row r="23" spans="2:17" hidden="1" x14ac:dyDescent="0.25">
      <c r="P23" s="6">
        <v>0.75</v>
      </c>
      <c r="Q23" s="6">
        <v>2.1</v>
      </c>
    </row>
    <row r="24" spans="2:17" hidden="1" x14ac:dyDescent="0.25">
      <c r="P24" s="6">
        <v>0.76</v>
      </c>
      <c r="Q24" s="6">
        <v>2.2000000000000002</v>
      </c>
    </row>
    <row r="25" spans="2:17" hidden="1" x14ac:dyDescent="0.25">
      <c r="P25" s="6">
        <v>0.77</v>
      </c>
      <c r="Q25" s="6">
        <v>2.2999999999999998</v>
      </c>
    </row>
    <row r="26" spans="2:17" hidden="1" x14ac:dyDescent="0.25">
      <c r="P26" s="6">
        <v>0.78</v>
      </c>
      <c r="Q26" s="6">
        <v>2.4</v>
      </c>
    </row>
    <row r="27" spans="2:17" hidden="1" x14ac:dyDescent="0.25">
      <c r="P27" s="6">
        <v>0.79</v>
      </c>
      <c r="Q27" s="6">
        <v>2.5</v>
      </c>
    </row>
    <row r="28" spans="2:17" hidden="1" x14ac:dyDescent="0.25">
      <c r="P28" s="6">
        <v>0.8</v>
      </c>
      <c r="Q28" s="6">
        <v>2.6</v>
      </c>
    </row>
    <row r="29" spans="2:17" hidden="1" x14ac:dyDescent="0.25">
      <c r="P29" s="6">
        <v>0.81</v>
      </c>
      <c r="Q29" s="6">
        <v>2.7</v>
      </c>
    </row>
    <row r="30" spans="2:17" hidden="1" x14ac:dyDescent="0.25">
      <c r="P30" s="6">
        <v>0.82</v>
      </c>
      <c r="Q30" s="6">
        <v>2.8</v>
      </c>
    </row>
    <row r="31" spans="2:17" hidden="1" x14ac:dyDescent="0.25">
      <c r="P31" s="6">
        <v>0.83</v>
      </c>
      <c r="Q31" s="6">
        <v>2.9</v>
      </c>
    </row>
    <row r="32" spans="2:17" hidden="1" x14ac:dyDescent="0.25">
      <c r="P32" s="6">
        <v>0.84</v>
      </c>
      <c r="Q32" s="6">
        <v>3</v>
      </c>
    </row>
    <row r="33" spans="16:17" hidden="1" x14ac:dyDescent="0.25">
      <c r="P33" s="6">
        <v>0.85</v>
      </c>
      <c r="Q33" s="6">
        <v>3.1</v>
      </c>
    </row>
    <row r="34" spans="16:17" hidden="1" x14ac:dyDescent="0.25">
      <c r="P34" s="6">
        <v>0.86</v>
      </c>
      <c r="Q34" s="6">
        <v>3.2</v>
      </c>
    </row>
    <row r="35" spans="16:17" hidden="1" x14ac:dyDescent="0.25">
      <c r="P35" s="6">
        <v>0.87</v>
      </c>
      <c r="Q35" s="6">
        <v>3.3</v>
      </c>
    </row>
    <row r="36" spans="16:17" hidden="1" x14ac:dyDescent="0.25">
      <c r="P36" s="6">
        <v>0.88</v>
      </c>
      <c r="Q36" s="6">
        <v>3.4</v>
      </c>
    </row>
    <row r="37" spans="16:17" hidden="1" x14ac:dyDescent="0.25">
      <c r="P37" s="6">
        <v>0.89</v>
      </c>
      <c r="Q37" s="6">
        <v>3.5</v>
      </c>
    </row>
    <row r="38" spans="16:17" hidden="1" x14ac:dyDescent="0.25">
      <c r="P38" s="6">
        <v>0.9</v>
      </c>
      <c r="Q38" s="6">
        <v>3.6</v>
      </c>
    </row>
    <row r="39" spans="16:17" x14ac:dyDescent="0.25">
      <c r="P39" s="6">
        <v>0.91</v>
      </c>
      <c r="Q39" s="6">
        <v>3.7</v>
      </c>
    </row>
    <row r="40" spans="16:17" x14ac:dyDescent="0.25">
      <c r="P40" s="6">
        <v>0.92</v>
      </c>
      <c r="Q40" s="6">
        <v>3.8</v>
      </c>
    </row>
    <row r="41" spans="16:17" x14ac:dyDescent="0.25">
      <c r="P41" s="6">
        <v>0.93</v>
      </c>
      <c r="Q41" s="6">
        <v>3.9</v>
      </c>
    </row>
    <row r="42" spans="16:17" x14ac:dyDescent="0.25">
      <c r="P42" s="6">
        <v>0.94</v>
      </c>
      <c r="Q42" s="6">
        <v>4</v>
      </c>
    </row>
    <row r="56" spans="2:14" x14ac:dyDescent="0.25">
      <c r="B56" s="40" t="s">
        <v>70</v>
      </c>
      <c r="C56" s="41" cm="1">
        <f t="array" ref="C56:N56">_xlfn.BYCOL(C8:N13,_xleta.AVERAGE)</f>
        <v>92</v>
      </c>
      <c r="D56" s="41">
        <v>88.833333333333329</v>
      </c>
      <c r="E56" s="41">
        <v>95.833333333333329</v>
      </c>
      <c r="F56" s="41">
        <v>93.666666666666671</v>
      </c>
      <c r="G56" s="41">
        <v>24.333333333333332</v>
      </c>
      <c r="H56" s="41">
        <v>21.5</v>
      </c>
      <c r="I56" s="41">
        <v>29.833333333333332</v>
      </c>
      <c r="J56" s="41">
        <v>26.166666666666668</v>
      </c>
      <c r="K56" s="41">
        <v>477.16666666666669</v>
      </c>
      <c r="L56" s="42">
        <v>0.9176333333333333</v>
      </c>
      <c r="M56" s="42">
        <v>0.9176333333333333</v>
      </c>
      <c r="N56" s="7">
        <v>3.6500000000000004</v>
      </c>
    </row>
    <row r="58" spans="2:14" x14ac:dyDescent="0.25">
      <c r="B58" s="40" t="s">
        <v>63</v>
      </c>
    </row>
    <row r="59" spans="2:14" x14ac:dyDescent="0.25">
      <c r="B59" s="7" cm="1">
        <f t="array" ref="B59:B64">_xlfn.BYROW(C8:J13,_xleta.SUM)</f>
        <v>471</v>
      </c>
    </row>
    <row r="60" spans="2:14" x14ac:dyDescent="0.25">
      <c r="B60" s="7">
        <v>424</v>
      </c>
    </row>
    <row r="61" spans="2:14" x14ac:dyDescent="0.25">
      <c r="B61" s="7">
        <v>498</v>
      </c>
    </row>
    <row r="62" spans="2:14" x14ac:dyDescent="0.25">
      <c r="B62" s="7">
        <v>496</v>
      </c>
    </row>
    <row r="63" spans="2:14" x14ac:dyDescent="0.25">
      <c r="B63" s="7">
        <v>478</v>
      </c>
    </row>
    <row r="64" spans="2:14" x14ac:dyDescent="0.25">
      <c r="B64" s="7">
        <v>466</v>
      </c>
    </row>
    <row r="65" spans="2:2" x14ac:dyDescent="0.25">
      <c r="B65" s="41"/>
    </row>
  </sheetData>
  <printOptions horizontalCentered="1" headings="1"/>
  <pageMargins left="0.3" right="0.3" top="0.75" bottom="0.75" header="0.3" footer="0.3"/>
  <pageSetup orientation="landscape" r:id="rId1"/>
  <headerFooter>
    <oddFooter>&amp;L&amp;A&amp;C&amp;P of &amp;N&amp;R&amp;D - 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9F12-0F27-4D51-B111-91118C0315E7}">
  <sheetPr>
    <tabColor rgb="FF0000FF"/>
  </sheetPr>
  <dimension ref="B1:Q42"/>
  <sheetViews>
    <sheetView workbookViewId="0">
      <selection activeCell="K14" sqref="K14"/>
    </sheetView>
  </sheetViews>
  <sheetFormatPr defaultRowHeight="15" x14ac:dyDescent="0.25"/>
  <cols>
    <col min="2" max="2" width="10.7109375" customWidth="1"/>
    <col min="3" max="10" width="7.7109375" customWidth="1"/>
    <col min="11" max="11" width="10.7109375" customWidth="1"/>
    <col min="12" max="12" width="10.5703125" bestFit="1" customWidth="1"/>
    <col min="13" max="13" width="10.5703125" customWidth="1"/>
    <col min="14" max="14" width="16.5703125" customWidth="1"/>
    <col min="17" max="17" width="18.140625" customWidth="1"/>
  </cols>
  <sheetData>
    <row r="1" spans="2:17" x14ac:dyDescent="0.25">
      <c r="K1" s="60" t="s">
        <v>145</v>
      </c>
      <c r="N1" s="60" t="s">
        <v>203</v>
      </c>
    </row>
    <row r="2" spans="2:17" x14ac:dyDescent="0.25">
      <c r="K2" s="6">
        <v>5</v>
      </c>
      <c r="N2" s="6" t="s">
        <v>204</v>
      </c>
    </row>
    <row r="3" spans="2:17" x14ac:dyDescent="0.25">
      <c r="N3" s="6" t="s">
        <v>205</v>
      </c>
    </row>
    <row r="4" spans="2:17" x14ac:dyDescent="0.25">
      <c r="K4" s="60" t="s">
        <v>63</v>
      </c>
    </row>
    <row r="5" spans="2:17" x14ac:dyDescent="0.25">
      <c r="B5" s="60" t="s">
        <v>134</v>
      </c>
      <c r="C5" s="6">
        <v>100</v>
      </c>
      <c r="D5" s="6">
        <v>100</v>
      </c>
      <c r="E5" s="6">
        <v>100</v>
      </c>
      <c r="F5" s="6">
        <v>100</v>
      </c>
      <c r="G5" s="6">
        <v>30</v>
      </c>
      <c r="H5" s="6">
        <v>30</v>
      </c>
      <c r="I5" s="6">
        <v>30</v>
      </c>
      <c r="J5" s="6">
        <v>30</v>
      </c>
      <c r="K5" s="7">
        <f>SUM(C5:J5)</f>
        <v>520</v>
      </c>
    </row>
    <row r="7" spans="2:17" x14ac:dyDescent="0.25">
      <c r="B7" s="60" t="s">
        <v>133</v>
      </c>
      <c r="C7" s="60" t="s">
        <v>41</v>
      </c>
      <c r="D7" s="60" t="s">
        <v>42</v>
      </c>
      <c r="E7" s="60" t="s">
        <v>43</v>
      </c>
      <c r="F7" s="60" t="s">
        <v>44</v>
      </c>
      <c r="G7" s="60" t="s">
        <v>48</v>
      </c>
      <c r="H7" s="60" t="s">
        <v>49</v>
      </c>
      <c r="I7" s="60" t="s">
        <v>50</v>
      </c>
      <c r="J7" s="60" t="s">
        <v>51</v>
      </c>
      <c r="K7" s="60" t="s">
        <v>63</v>
      </c>
      <c r="L7" s="60" t="s">
        <v>64</v>
      </c>
      <c r="M7" s="60" t="s">
        <v>64</v>
      </c>
      <c r="N7" s="60" t="s">
        <v>79</v>
      </c>
      <c r="P7" s="60" t="s">
        <v>64</v>
      </c>
      <c r="Q7" s="60" t="s">
        <v>79</v>
      </c>
    </row>
    <row r="8" spans="2:17" x14ac:dyDescent="0.25">
      <c r="B8" s="6" t="s">
        <v>35</v>
      </c>
      <c r="C8" s="6">
        <v>88</v>
      </c>
      <c r="D8" s="6">
        <v>87</v>
      </c>
      <c r="E8" s="6">
        <v>92</v>
      </c>
      <c r="F8" s="6">
        <v>100</v>
      </c>
      <c r="G8" s="6">
        <v>25</v>
      </c>
      <c r="H8" s="6">
        <v>21</v>
      </c>
      <c r="I8" s="6">
        <v>29</v>
      </c>
      <c r="J8" s="6">
        <v>29</v>
      </c>
      <c r="K8" s="7">
        <f>SUM(C8:J8)+$K$2</f>
        <v>476</v>
      </c>
      <c r="L8" s="7">
        <f>ROUND(K8/$K$5,4)</f>
        <v>0.91539999999999999</v>
      </c>
      <c r="M8" s="7" cm="1">
        <f t="array" ref="M8:M13">ROUND(K8:K13/K5,4)</f>
        <v>0.91539999999999999</v>
      </c>
      <c r="N8" s="7" cm="1">
        <f t="array" ref="N8:N13">_xlfn.XLOOKUP(_xlfn.ANCHORARRAY(M8),P8:P42,Q8:Q42,,-1)</f>
        <v>3.7</v>
      </c>
      <c r="P8" s="6">
        <v>0</v>
      </c>
      <c r="Q8" s="6">
        <v>0</v>
      </c>
    </row>
    <row r="9" spans="2:17" x14ac:dyDescent="0.25">
      <c r="B9" s="6" t="s">
        <v>202</v>
      </c>
      <c r="C9" s="6">
        <v>78</v>
      </c>
      <c r="D9" s="6">
        <v>78</v>
      </c>
      <c r="E9" s="6">
        <v>87</v>
      </c>
      <c r="F9" s="6">
        <v>91</v>
      </c>
      <c r="G9" s="6">
        <v>24</v>
      </c>
      <c r="H9" s="6">
        <v>22</v>
      </c>
      <c r="I9" s="6">
        <v>30</v>
      </c>
      <c r="J9" s="6">
        <v>14</v>
      </c>
      <c r="K9" s="7">
        <f t="shared" ref="K9:K13" si="0">SUM(C9:J9)+$K$2</f>
        <v>429</v>
      </c>
      <c r="L9" s="7">
        <f t="shared" ref="L9:L13" si="1">ROUND(K9/$K$5,4)</f>
        <v>0.82499999999999996</v>
      </c>
      <c r="M9" s="7">
        <v>0.82499999999999996</v>
      </c>
      <c r="N9" s="7">
        <v>2.8</v>
      </c>
      <c r="P9" s="6">
        <v>0.61</v>
      </c>
      <c r="Q9" s="6">
        <v>0.7</v>
      </c>
    </row>
    <row r="10" spans="2:17" x14ac:dyDescent="0.25">
      <c r="B10" s="6" t="s">
        <v>37</v>
      </c>
      <c r="C10" s="6">
        <v>99</v>
      </c>
      <c r="D10" s="6">
        <v>92</v>
      </c>
      <c r="E10" s="6">
        <v>100</v>
      </c>
      <c r="F10" s="6">
        <v>99</v>
      </c>
      <c r="G10" s="6">
        <v>25</v>
      </c>
      <c r="H10" s="6">
        <v>25</v>
      </c>
      <c r="I10" s="6">
        <v>30</v>
      </c>
      <c r="J10" s="6">
        <v>28</v>
      </c>
      <c r="K10" s="7">
        <f t="shared" si="0"/>
        <v>503</v>
      </c>
      <c r="L10" s="7">
        <f t="shared" si="1"/>
        <v>0.96730000000000005</v>
      </c>
      <c r="M10" s="7">
        <v>0.96730000000000005</v>
      </c>
      <c r="N10" s="7">
        <v>4</v>
      </c>
      <c r="P10" s="6">
        <v>0.62</v>
      </c>
      <c r="Q10" s="6">
        <v>0.8</v>
      </c>
    </row>
    <row r="11" spans="2:17" x14ac:dyDescent="0.25">
      <c r="B11" s="6" t="s">
        <v>38</v>
      </c>
      <c r="C11" s="6">
        <v>100</v>
      </c>
      <c r="D11" s="6">
        <v>91</v>
      </c>
      <c r="E11" s="6">
        <v>100</v>
      </c>
      <c r="F11" s="6">
        <v>98</v>
      </c>
      <c r="G11" s="6">
        <v>26</v>
      </c>
      <c r="H11" s="6">
        <v>24</v>
      </c>
      <c r="I11" s="6">
        <v>30</v>
      </c>
      <c r="J11" s="6">
        <v>27</v>
      </c>
      <c r="K11" s="7">
        <f t="shared" si="0"/>
        <v>501</v>
      </c>
      <c r="L11" s="7">
        <f t="shared" si="1"/>
        <v>0.96350000000000002</v>
      </c>
      <c r="M11" s="7">
        <v>0.96350000000000002</v>
      </c>
      <c r="N11" s="7">
        <v>4</v>
      </c>
      <c r="P11" s="6">
        <v>0.63</v>
      </c>
      <c r="Q11" s="6">
        <v>0.9</v>
      </c>
    </row>
    <row r="12" spans="2:17" x14ac:dyDescent="0.25">
      <c r="B12" s="6" t="s">
        <v>39</v>
      </c>
      <c r="C12" s="6">
        <v>92</v>
      </c>
      <c r="D12" s="6">
        <v>98</v>
      </c>
      <c r="E12" s="6">
        <v>99</v>
      </c>
      <c r="F12" s="6">
        <v>90</v>
      </c>
      <c r="G12" s="6">
        <v>21</v>
      </c>
      <c r="H12" s="6">
        <v>19</v>
      </c>
      <c r="I12" s="6">
        <v>30</v>
      </c>
      <c r="J12" s="6">
        <v>29</v>
      </c>
      <c r="K12" s="7">
        <f t="shared" si="0"/>
        <v>483</v>
      </c>
      <c r="L12" s="7">
        <f t="shared" si="1"/>
        <v>0.92879999999999996</v>
      </c>
      <c r="M12" s="7">
        <v>0.92879999999999996</v>
      </c>
      <c r="N12" s="7">
        <v>3.8</v>
      </c>
      <c r="P12" s="6">
        <v>0.64</v>
      </c>
      <c r="Q12" s="6">
        <v>1</v>
      </c>
    </row>
    <row r="13" spans="2:17" x14ac:dyDescent="0.25">
      <c r="B13" s="6" t="s">
        <v>40</v>
      </c>
      <c r="C13" s="6">
        <v>95</v>
      </c>
      <c r="D13" s="6">
        <v>87</v>
      </c>
      <c r="E13" s="6">
        <v>97</v>
      </c>
      <c r="F13" s="6">
        <v>84</v>
      </c>
      <c r="G13" s="6">
        <v>25</v>
      </c>
      <c r="H13" s="6">
        <v>18</v>
      </c>
      <c r="I13" s="6">
        <v>30</v>
      </c>
      <c r="J13" s="6">
        <v>30</v>
      </c>
      <c r="K13" s="7">
        <f t="shared" si="0"/>
        <v>471</v>
      </c>
      <c r="L13" s="7">
        <f t="shared" si="1"/>
        <v>0.90580000000000005</v>
      </c>
      <c r="M13" s="7">
        <v>0.90580000000000005</v>
      </c>
      <c r="N13" s="7">
        <v>3.6</v>
      </c>
      <c r="P13" s="6">
        <v>0.65</v>
      </c>
      <c r="Q13" s="6">
        <v>1.1000000000000001</v>
      </c>
    </row>
    <row r="14" spans="2:17" x14ac:dyDescent="0.25">
      <c r="B14" s="60" t="s">
        <v>70</v>
      </c>
      <c r="C14" s="41">
        <f>IFERROR(AVERAGE(C8:C13),0)</f>
        <v>92</v>
      </c>
      <c r="D14" s="41">
        <f t="shared" ref="D14:N14" si="2">AVERAGE(D8:D13)</f>
        <v>88.833333333333329</v>
      </c>
      <c r="E14" s="41">
        <f t="shared" si="2"/>
        <v>95.833333333333329</v>
      </c>
      <c r="F14" s="41">
        <f t="shared" si="2"/>
        <v>93.666666666666671</v>
      </c>
      <c r="G14" s="41">
        <f t="shared" si="2"/>
        <v>24.333333333333332</v>
      </c>
      <c r="H14" s="41">
        <f t="shared" si="2"/>
        <v>21.5</v>
      </c>
      <c r="I14" s="41">
        <f t="shared" si="2"/>
        <v>29.833333333333332</v>
      </c>
      <c r="J14" s="41">
        <f t="shared" si="2"/>
        <v>26.166666666666668</v>
      </c>
      <c r="K14" s="41">
        <f>AVERAGE(K8:K13)</f>
        <v>477.16666666666669</v>
      </c>
      <c r="L14" s="42">
        <f>AVERAGE(L8:L13)</f>
        <v>0.9176333333333333</v>
      </c>
      <c r="M14" s="42">
        <f>AVERAGE(M8:M13)</f>
        <v>0.9176333333333333</v>
      </c>
      <c r="N14" s="7">
        <f>AVERAGE(N8:N13)</f>
        <v>3.6500000000000004</v>
      </c>
      <c r="P14" s="6">
        <v>0.66</v>
      </c>
      <c r="Q14" s="6">
        <v>1.2</v>
      </c>
    </row>
    <row r="15" spans="2:17" x14ac:dyDescent="0.25">
      <c r="P15" s="6">
        <v>0.67</v>
      </c>
      <c r="Q15" s="6">
        <v>1.3</v>
      </c>
    </row>
    <row r="16" spans="2:17" x14ac:dyDescent="0.25">
      <c r="B16" s="10">
        <v>46156</v>
      </c>
      <c r="C16" s="10">
        <v>46157</v>
      </c>
      <c r="D16" s="10">
        <v>46158</v>
      </c>
      <c r="E16" s="10">
        <v>46159</v>
      </c>
      <c r="F16" s="10">
        <v>46160</v>
      </c>
      <c r="G16" s="10">
        <v>46161</v>
      </c>
      <c r="H16" s="10">
        <v>46162</v>
      </c>
      <c r="I16" s="10">
        <v>46163</v>
      </c>
      <c r="J16" s="10">
        <v>46164</v>
      </c>
      <c r="K16" s="10">
        <v>46165</v>
      </c>
      <c r="M16">
        <f>M10</f>
        <v>0.96730000000000005</v>
      </c>
      <c r="P16" s="6">
        <v>0.68</v>
      </c>
      <c r="Q16" s="6">
        <v>1.4</v>
      </c>
    </row>
    <row r="17" spans="2:17" x14ac:dyDescent="0.25">
      <c r="P17" s="6">
        <v>0.69</v>
      </c>
      <c r="Q17" s="6">
        <v>1.5</v>
      </c>
    </row>
    <row r="18" spans="2:17" x14ac:dyDescent="0.25"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P18" s="6">
        <v>0.7</v>
      </c>
      <c r="Q18" s="6">
        <v>1.6</v>
      </c>
    </row>
    <row r="19" spans="2:17" x14ac:dyDescent="0.25">
      <c r="B19" s="10">
        <v>45292</v>
      </c>
      <c r="C19" s="10">
        <v>45293</v>
      </c>
      <c r="D19" s="10">
        <v>45294</v>
      </c>
      <c r="E19" s="10">
        <v>45295</v>
      </c>
      <c r="F19" s="10">
        <v>45296</v>
      </c>
      <c r="G19" s="10">
        <v>45299</v>
      </c>
      <c r="H19" s="10">
        <v>45300</v>
      </c>
      <c r="I19" s="10">
        <v>45301</v>
      </c>
      <c r="J19" s="10">
        <v>45302</v>
      </c>
      <c r="K19" s="10">
        <v>45303</v>
      </c>
      <c r="P19" s="6">
        <v>0.71</v>
      </c>
      <c r="Q19" s="6">
        <v>1.7</v>
      </c>
    </row>
    <row r="20" spans="2:17" x14ac:dyDescent="0.25"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P20" s="6">
        <v>0.72</v>
      </c>
      <c r="Q20" s="6">
        <v>1.8</v>
      </c>
    </row>
    <row r="21" spans="2:17" x14ac:dyDescent="0.25">
      <c r="P21" s="6">
        <v>0.73</v>
      </c>
      <c r="Q21" s="6">
        <v>1.9</v>
      </c>
    </row>
    <row r="22" spans="2:17" x14ac:dyDescent="0.25">
      <c r="P22" s="6">
        <v>0.74</v>
      </c>
      <c r="Q22" s="6">
        <v>2</v>
      </c>
    </row>
    <row r="23" spans="2:17" x14ac:dyDescent="0.25">
      <c r="P23" s="6">
        <v>0.75</v>
      </c>
      <c r="Q23" s="6">
        <v>2.1</v>
      </c>
    </row>
    <row r="24" spans="2:17" x14ac:dyDescent="0.25">
      <c r="P24" s="6">
        <v>0.76</v>
      </c>
      <c r="Q24" s="6">
        <v>2.2000000000000002</v>
      </c>
    </row>
    <row r="25" spans="2:17" x14ac:dyDescent="0.25">
      <c r="P25" s="6">
        <v>0.77</v>
      </c>
      <c r="Q25" s="6">
        <v>2.2999999999999998</v>
      </c>
    </row>
    <row r="26" spans="2:17" x14ac:dyDescent="0.25">
      <c r="P26" s="6">
        <v>0.78</v>
      </c>
      <c r="Q26" s="6">
        <v>2.4</v>
      </c>
    </row>
    <row r="27" spans="2:17" x14ac:dyDescent="0.25">
      <c r="P27" s="6">
        <v>0.79</v>
      </c>
      <c r="Q27" s="6">
        <v>2.5</v>
      </c>
    </row>
    <row r="28" spans="2:17" x14ac:dyDescent="0.25">
      <c r="P28" s="6">
        <v>0.8</v>
      </c>
      <c r="Q28" s="6">
        <v>2.6</v>
      </c>
    </row>
    <row r="29" spans="2:17" x14ac:dyDescent="0.25">
      <c r="P29" s="6">
        <v>0.81</v>
      </c>
      <c r="Q29" s="6">
        <v>2.7</v>
      </c>
    </row>
    <row r="30" spans="2:17" x14ac:dyDescent="0.25">
      <c r="P30" s="6">
        <v>0.82</v>
      </c>
      <c r="Q30" s="6">
        <v>2.8</v>
      </c>
    </row>
    <row r="31" spans="2:17" x14ac:dyDescent="0.25">
      <c r="P31" s="6">
        <v>0.83</v>
      </c>
      <c r="Q31" s="6">
        <v>2.9</v>
      </c>
    </row>
    <row r="32" spans="2:17" x14ac:dyDescent="0.25">
      <c r="P32" s="6">
        <v>0.84</v>
      </c>
      <c r="Q32" s="6">
        <v>3</v>
      </c>
    </row>
    <row r="33" spans="16:17" x14ac:dyDescent="0.25">
      <c r="P33" s="6">
        <v>0.85</v>
      </c>
      <c r="Q33" s="6">
        <v>3.1</v>
      </c>
    </row>
    <row r="34" spans="16:17" x14ac:dyDescent="0.25">
      <c r="P34" s="6">
        <v>0.86</v>
      </c>
      <c r="Q34" s="6">
        <v>3.2</v>
      </c>
    </row>
    <row r="35" spans="16:17" x14ac:dyDescent="0.25">
      <c r="P35" s="6">
        <v>0.87</v>
      </c>
      <c r="Q35" s="6">
        <v>3.3</v>
      </c>
    </row>
    <row r="36" spans="16:17" x14ac:dyDescent="0.25">
      <c r="P36" s="6">
        <v>0.88</v>
      </c>
      <c r="Q36" s="6">
        <v>3.4</v>
      </c>
    </row>
    <row r="37" spans="16:17" x14ac:dyDescent="0.25">
      <c r="P37" s="6">
        <v>0.89</v>
      </c>
      <c r="Q37" s="6">
        <v>3.5</v>
      </c>
    </row>
    <row r="38" spans="16:17" x14ac:dyDescent="0.25">
      <c r="P38" s="6">
        <v>0.9</v>
      </c>
      <c r="Q38" s="6">
        <v>3.6</v>
      </c>
    </row>
    <row r="39" spans="16:17" x14ac:dyDescent="0.25">
      <c r="P39" s="6">
        <v>0.91</v>
      </c>
      <c r="Q39" s="6">
        <v>3.7</v>
      </c>
    </row>
    <row r="40" spans="16:17" x14ac:dyDescent="0.25">
      <c r="P40" s="6">
        <v>0.92</v>
      </c>
      <c r="Q40" s="6">
        <v>3.8</v>
      </c>
    </row>
    <row r="41" spans="16:17" x14ac:dyDescent="0.25">
      <c r="P41" s="6">
        <v>0.93</v>
      </c>
      <c r="Q41" s="6">
        <v>3.9</v>
      </c>
    </row>
    <row r="42" spans="16:17" x14ac:dyDescent="0.25">
      <c r="P42" s="6">
        <v>0.94</v>
      </c>
      <c r="Q42" s="6">
        <v>4</v>
      </c>
    </row>
  </sheetData>
  <phoneticPr fontId="5" type="noConversion"/>
  <printOptions horizontalCentered="1"/>
  <pageMargins left="0.11811023622047245" right="0.11811023622047245" top="0.29527559055118113" bottom="0.29527559055118113" header="0.11811023622047245" footer="0.11811023622047245"/>
  <pageSetup orientation="landscape" r:id="rId1"/>
  <headerFooter>
    <oddFooter xml:space="preserve">&amp;L&amp;A&amp;C&amp;P of &amp;P&amp;R&amp;D - &amp;T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DA42-B8E4-4948-8B50-3E4E6CE2989C}">
  <sheetPr codeName="Sheet3">
    <tabColor rgb="FFFF0000"/>
  </sheetPr>
  <dimension ref="B1:Q42"/>
  <sheetViews>
    <sheetView workbookViewId="0"/>
  </sheetViews>
  <sheetFormatPr defaultRowHeight="15" x14ac:dyDescent="0.25"/>
  <cols>
    <col min="2" max="2" width="11.7109375" customWidth="1"/>
    <col min="3" max="10" width="8.5703125" customWidth="1"/>
    <col min="11" max="11" width="11.7109375" customWidth="1"/>
    <col min="14" max="14" width="13.42578125" customWidth="1"/>
    <col min="17" max="17" width="13.42578125" customWidth="1"/>
  </cols>
  <sheetData>
    <row r="1" spans="2:17" x14ac:dyDescent="0.25">
      <c r="K1" s="40" t="s">
        <v>145</v>
      </c>
    </row>
    <row r="2" spans="2:17" x14ac:dyDescent="0.25">
      <c r="K2" s="6">
        <v>5</v>
      </c>
    </row>
    <row r="4" spans="2:17" x14ac:dyDescent="0.25">
      <c r="K4" s="40" t="s">
        <v>63</v>
      </c>
    </row>
    <row r="5" spans="2:17" x14ac:dyDescent="0.25">
      <c r="B5" s="40" t="s">
        <v>134</v>
      </c>
      <c r="C5" s="6">
        <v>100</v>
      </c>
      <c r="D5" s="6">
        <v>100</v>
      </c>
      <c r="E5" s="6">
        <v>100</v>
      </c>
      <c r="F5" s="6">
        <v>100</v>
      </c>
      <c r="G5" s="6">
        <v>30</v>
      </c>
      <c r="H5" s="6">
        <v>30</v>
      </c>
      <c r="I5" s="6">
        <v>30</v>
      </c>
      <c r="J5" s="6">
        <v>30</v>
      </c>
      <c r="K5" s="7">
        <f>SUM(C5:J5)</f>
        <v>520</v>
      </c>
    </row>
    <row r="7" spans="2:17" x14ac:dyDescent="0.25">
      <c r="B7" s="40" t="s">
        <v>133</v>
      </c>
      <c r="C7" s="40" t="s">
        <v>41</v>
      </c>
      <c r="D7" s="40" t="s">
        <v>42</v>
      </c>
      <c r="E7" s="40" t="s">
        <v>43</v>
      </c>
      <c r="F7" s="40" t="s">
        <v>44</v>
      </c>
      <c r="G7" s="40" t="s">
        <v>48</v>
      </c>
      <c r="H7" s="40" t="s">
        <v>49</v>
      </c>
      <c r="I7" s="40" t="s">
        <v>50</v>
      </c>
      <c r="J7" s="40" t="s">
        <v>51</v>
      </c>
      <c r="K7" s="40" t="s">
        <v>63</v>
      </c>
      <c r="L7" s="40" t="s">
        <v>64</v>
      </c>
      <c r="M7" s="40" t="s">
        <v>64</v>
      </c>
      <c r="N7" s="40" t="s">
        <v>79</v>
      </c>
      <c r="P7" s="40" t="s">
        <v>64</v>
      </c>
      <c r="Q7" s="40" t="s">
        <v>79</v>
      </c>
    </row>
    <row r="8" spans="2:17" x14ac:dyDescent="0.25">
      <c r="B8" s="6" t="s">
        <v>35</v>
      </c>
      <c r="C8" s="6">
        <v>88</v>
      </c>
      <c r="D8" s="6">
        <v>87</v>
      </c>
      <c r="E8" s="6">
        <v>92</v>
      </c>
      <c r="F8" s="6">
        <v>100</v>
      </c>
      <c r="G8" s="6">
        <v>25</v>
      </c>
      <c r="H8" s="6">
        <v>21</v>
      </c>
      <c r="I8" s="6">
        <v>29</v>
      </c>
      <c r="J8" s="6">
        <v>29</v>
      </c>
      <c r="K8" s="7">
        <f>SUM(C8:J8)+$K$2</f>
        <v>476</v>
      </c>
      <c r="L8" s="7">
        <f>ROUND(K8/$K$5,4)</f>
        <v>0.91539999999999999</v>
      </c>
      <c r="M8" s="7" cm="1">
        <f t="array" ref="M8:M13">ROUND(K8:K13/K5,4)</f>
        <v>0.91539999999999999</v>
      </c>
      <c r="N8" s="7" cm="1">
        <f t="array" ref="N8:N13">_xlfn.XLOOKUP(_xlfn.ANCHORARRAY(M8),P8:P42,Q8:Q42,,-1)</f>
        <v>3.7</v>
      </c>
      <c r="P8" s="6">
        <v>0</v>
      </c>
      <c r="Q8" s="6">
        <v>0</v>
      </c>
    </row>
    <row r="9" spans="2:17" x14ac:dyDescent="0.25">
      <c r="B9" s="6" t="s">
        <v>36</v>
      </c>
      <c r="C9" s="6">
        <v>78</v>
      </c>
      <c r="D9" s="6">
        <v>78</v>
      </c>
      <c r="E9" s="6">
        <v>87</v>
      </c>
      <c r="F9" s="6">
        <v>91</v>
      </c>
      <c r="G9" s="6">
        <v>24</v>
      </c>
      <c r="H9" s="6">
        <v>22</v>
      </c>
      <c r="I9" s="6">
        <v>30</v>
      </c>
      <c r="J9" s="6">
        <v>14</v>
      </c>
      <c r="K9" s="7">
        <f t="shared" ref="K9:K13" si="0">SUM(C9:J9)+$K$2</f>
        <v>429</v>
      </c>
      <c r="L9" s="7">
        <f t="shared" ref="L9:L13" si="1">ROUND(K9/$K$5,4)</f>
        <v>0.82499999999999996</v>
      </c>
      <c r="M9" s="7">
        <v>0.82499999999999996</v>
      </c>
      <c r="N9" s="7">
        <v>2.8</v>
      </c>
      <c r="P9" s="6">
        <v>0.61</v>
      </c>
      <c r="Q9" s="6">
        <v>0.7</v>
      </c>
    </row>
    <row r="10" spans="2:17" x14ac:dyDescent="0.25">
      <c r="B10" s="6" t="s">
        <v>37</v>
      </c>
      <c r="C10" s="6">
        <v>99</v>
      </c>
      <c r="D10" s="6">
        <v>92</v>
      </c>
      <c r="E10" s="6">
        <v>100</v>
      </c>
      <c r="F10" s="6">
        <v>99</v>
      </c>
      <c r="G10" s="6">
        <v>25</v>
      </c>
      <c r="H10" s="6">
        <v>25</v>
      </c>
      <c r="I10" s="6">
        <v>30</v>
      </c>
      <c r="J10" s="6">
        <v>28</v>
      </c>
      <c r="K10" s="7">
        <f t="shared" si="0"/>
        <v>503</v>
      </c>
      <c r="L10" s="7">
        <f t="shared" si="1"/>
        <v>0.96730000000000005</v>
      </c>
      <c r="M10" s="7">
        <v>0.96730000000000005</v>
      </c>
      <c r="N10" s="7">
        <v>4</v>
      </c>
      <c r="P10" s="6">
        <v>0.62</v>
      </c>
      <c r="Q10" s="6">
        <v>0.8</v>
      </c>
    </row>
    <row r="11" spans="2:17" x14ac:dyDescent="0.25">
      <c r="B11" s="6" t="s">
        <v>38</v>
      </c>
      <c r="C11" s="6">
        <v>100</v>
      </c>
      <c r="D11" s="6">
        <v>91</v>
      </c>
      <c r="E11" s="6">
        <v>100</v>
      </c>
      <c r="F11" s="6">
        <v>98</v>
      </c>
      <c r="G11" s="6">
        <v>26</v>
      </c>
      <c r="H11" s="6">
        <v>24</v>
      </c>
      <c r="I11" s="6">
        <v>30</v>
      </c>
      <c r="J11" s="6">
        <v>27</v>
      </c>
      <c r="K11" s="7">
        <f t="shared" si="0"/>
        <v>501</v>
      </c>
      <c r="L11" s="7">
        <f t="shared" si="1"/>
        <v>0.96350000000000002</v>
      </c>
      <c r="M11" s="7">
        <v>0.96350000000000002</v>
      </c>
      <c r="N11" s="7">
        <v>4</v>
      </c>
      <c r="P11" s="6">
        <v>0.63</v>
      </c>
      <c r="Q11" s="6">
        <v>0.9</v>
      </c>
    </row>
    <row r="12" spans="2:17" x14ac:dyDescent="0.25">
      <c r="B12" s="6" t="s">
        <v>39</v>
      </c>
      <c r="C12" s="6">
        <v>92</v>
      </c>
      <c r="D12" s="6">
        <v>98</v>
      </c>
      <c r="E12" s="6">
        <v>99</v>
      </c>
      <c r="F12" s="6">
        <v>90</v>
      </c>
      <c r="G12" s="6">
        <v>21</v>
      </c>
      <c r="H12" s="6">
        <v>19</v>
      </c>
      <c r="I12" s="6">
        <v>30</v>
      </c>
      <c r="J12" s="6">
        <v>29</v>
      </c>
      <c r="K12" s="7">
        <f t="shared" si="0"/>
        <v>483</v>
      </c>
      <c r="L12" s="7">
        <f t="shared" si="1"/>
        <v>0.92879999999999996</v>
      </c>
      <c r="M12" s="7">
        <v>0.92879999999999996</v>
      </c>
      <c r="N12" s="7">
        <v>3.8</v>
      </c>
      <c r="P12" s="6">
        <v>0.64</v>
      </c>
      <c r="Q12" s="6">
        <v>1</v>
      </c>
    </row>
    <row r="13" spans="2:17" x14ac:dyDescent="0.25">
      <c r="B13" s="6" t="s">
        <v>40</v>
      </c>
      <c r="C13" s="6">
        <v>95</v>
      </c>
      <c r="D13" s="6">
        <v>87</v>
      </c>
      <c r="E13" s="6">
        <v>97</v>
      </c>
      <c r="F13" s="6">
        <v>84</v>
      </c>
      <c r="G13" s="6">
        <v>25</v>
      </c>
      <c r="H13" s="6">
        <v>18</v>
      </c>
      <c r="I13" s="6">
        <v>30</v>
      </c>
      <c r="J13" s="6">
        <v>30</v>
      </c>
      <c r="K13" s="7">
        <f t="shared" si="0"/>
        <v>471</v>
      </c>
      <c r="L13" s="7">
        <f t="shared" si="1"/>
        <v>0.90580000000000005</v>
      </c>
      <c r="M13" s="7">
        <v>0.90580000000000005</v>
      </c>
      <c r="N13" s="7">
        <v>3.6</v>
      </c>
      <c r="P13" s="6">
        <v>0.65</v>
      </c>
      <c r="Q13" s="6">
        <v>1.1000000000000001</v>
      </c>
    </row>
    <row r="14" spans="2:17" x14ac:dyDescent="0.25">
      <c r="B14" s="40" t="s">
        <v>70</v>
      </c>
      <c r="C14" s="41">
        <f>AVERAGE(C8:C13)</f>
        <v>92</v>
      </c>
      <c r="D14" s="41">
        <f t="shared" ref="D14:N14" si="2">AVERAGE(D8:D13)</f>
        <v>88.833333333333329</v>
      </c>
      <c r="E14" s="41">
        <f t="shared" si="2"/>
        <v>95.833333333333329</v>
      </c>
      <c r="F14" s="41">
        <f t="shared" si="2"/>
        <v>93.666666666666671</v>
      </c>
      <c r="G14" s="41">
        <f t="shared" si="2"/>
        <v>24.333333333333332</v>
      </c>
      <c r="H14" s="41">
        <f t="shared" si="2"/>
        <v>21.5</v>
      </c>
      <c r="I14" s="41">
        <f t="shared" si="2"/>
        <v>29.833333333333332</v>
      </c>
      <c r="J14" s="41">
        <f t="shared" si="2"/>
        <v>26.166666666666668</v>
      </c>
      <c r="K14" s="41">
        <f t="shared" si="2"/>
        <v>477.16666666666669</v>
      </c>
      <c r="L14" s="42">
        <f t="shared" si="2"/>
        <v>0.9176333333333333</v>
      </c>
      <c r="M14" s="42">
        <f t="shared" si="2"/>
        <v>0.9176333333333333</v>
      </c>
      <c r="N14" s="7">
        <f t="shared" si="2"/>
        <v>3.6500000000000004</v>
      </c>
      <c r="P14" s="6">
        <v>0.66</v>
      </c>
      <c r="Q14" s="6">
        <v>1.2</v>
      </c>
    </row>
    <row r="15" spans="2:17" x14ac:dyDescent="0.25">
      <c r="P15" s="6">
        <v>0.67</v>
      </c>
      <c r="Q15" s="6">
        <v>1.3</v>
      </c>
    </row>
    <row r="16" spans="2:17" x14ac:dyDescent="0.25">
      <c r="B16" t="s">
        <v>128</v>
      </c>
      <c r="C16" t="s">
        <v>129</v>
      </c>
      <c r="D16" t="s">
        <v>130</v>
      </c>
      <c r="E16" t="s">
        <v>131</v>
      </c>
      <c r="F16" t="s">
        <v>132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P16" s="6">
        <v>0.68</v>
      </c>
      <c r="Q16" s="6">
        <v>1.4</v>
      </c>
    </row>
    <row r="17" spans="2:17" x14ac:dyDescent="0.25">
      <c r="B17" s="10">
        <v>45588</v>
      </c>
      <c r="C17" s="10">
        <v>45589</v>
      </c>
      <c r="D17" s="10">
        <v>45590</v>
      </c>
      <c r="E17" s="10">
        <v>45591</v>
      </c>
      <c r="F17" s="10">
        <v>45592</v>
      </c>
      <c r="G17" s="10">
        <v>45593</v>
      </c>
      <c r="H17" s="10">
        <v>45594</v>
      </c>
      <c r="I17" s="10">
        <v>45595</v>
      </c>
      <c r="J17" s="10">
        <v>45596</v>
      </c>
      <c r="K17" s="10">
        <v>45597</v>
      </c>
      <c r="M17">
        <f>M10</f>
        <v>0.96730000000000005</v>
      </c>
      <c r="P17" s="6">
        <v>0.69</v>
      </c>
      <c r="Q17" s="6">
        <v>1.5</v>
      </c>
    </row>
    <row r="18" spans="2:17" x14ac:dyDescent="0.25">
      <c r="P18" s="6">
        <v>0.7</v>
      </c>
      <c r="Q18" s="6">
        <v>1.6</v>
      </c>
    </row>
    <row r="19" spans="2:17" x14ac:dyDescent="0.25"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P19" s="6">
        <v>0.71</v>
      </c>
      <c r="Q19" s="6">
        <v>1.7</v>
      </c>
    </row>
    <row r="20" spans="2:17" x14ac:dyDescent="0.25">
      <c r="B20" s="10">
        <v>45292</v>
      </c>
      <c r="C20" s="10">
        <v>45323</v>
      </c>
      <c r="D20" s="10">
        <v>45352</v>
      </c>
      <c r="E20" s="10">
        <v>45383</v>
      </c>
      <c r="F20" s="10">
        <v>45413</v>
      </c>
      <c r="G20" s="10">
        <v>45444</v>
      </c>
      <c r="H20" s="10">
        <v>45474</v>
      </c>
      <c r="I20" s="10">
        <v>45505</v>
      </c>
      <c r="J20" s="10">
        <v>45536</v>
      </c>
      <c r="K20" s="10">
        <v>45566</v>
      </c>
      <c r="P20" s="6">
        <v>0.72</v>
      </c>
      <c r="Q20" s="6">
        <v>1.8</v>
      </c>
    </row>
    <row r="21" spans="2:17" x14ac:dyDescent="0.25">
      <c r="P21" s="6">
        <v>0.73</v>
      </c>
      <c r="Q21" s="6">
        <v>1.9</v>
      </c>
    </row>
    <row r="22" spans="2:17" x14ac:dyDescent="0.25">
      <c r="B22" t="s">
        <v>60</v>
      </c>
      <c r="C22" t="s">
        <v>61</v>
      </c>
      <c r="D22" t="s">
        <v>62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P22" s="6">
        <v>0.74</v>
      </c>
      <c r="Q22" s="6">
        <v>2</v>
      </c>
    </row>
    <row r="23" spans="2:17" x14ac:dyDescent="0.25">
      <c r="B23" s="10">
        <v>45588</v>
      </c>
      <c r="C23" s="10">
        <v>45589</v>
      </c>
      <c r="D23" s="10">
        <v>45590</v>
      </c>
      <c r="E23" s="10">
        <v>45593</v>
      </c>
      <c r="F23" s="10">
        <v>45594</v>
      </c>
      <c r="G23" s="10">
        <v>45595</v>
      </c>
      <c r="H23" s="10">
        <v>45596</v>
      </c>
      <c r="I23" s="10">
        <v>45597</v>
      </c>
      <c r="P23" s="6">
        <v>0.75</v>
      </c>
      <c r="Q23" s="6">
        <v>2.1</v>
      </c>
    </row>
    <row r="24" spans="2:17" x14ac:dyDescent="0.25">
      <c r="P24" s="6">
        <v>0.76</v>
      </c>
      <c r="Q24" s="6">
        <v>2.2000000000000002</v>
      </c>
    </row>
    <row r="25" spans="2:17" x14ac:dyDescent="0.25">
      <c r="B25">
        <v>2</v>
      </c>
      <c r="C25">
        <v>5</v>
      </c>
      <c r="D25">
        <v>8</v>
      </c>
      <c r="E25">
        <v>11</v>
      </c>
      <c r="F25">
        <v>14</v>
      </c>
      <c r="G25">
        <v>17</v>
      </c>
      <c r="H25">
        <v>20</v>
      </c>
      <c r="I25">
        <v>23</v>
      </c>
      <c r="P25" s="6">
        <v>0.77</v>
      </c>
      <c r="Q25" s="6">
        <v>2.2999999999999998</v>
      </c>
    </row>
    <row r="26" spans="2:17" x14ac:dyDescent="0.25">
      <c r="P26" s="6">
        <v>0.78</v>
      </c>
      <c r="Q26" s="6">
        <v>2.4</v>
      </c>
    </row>
    <row r="27" spans="2:17" x14ac:dyDescent="0.25">
      <c r="P27" s="6">
        <v>0.79</v>
      </c>
      <c r="Q27" s="6">
        <v>2.5</v>
      </c>
    </row>
    <row r="28" spans="2:17" x14ac:dyDescent="0.25">
      <c r="P28" s="6">
        <v>0.8</v>
      </c>
      <c r="Q28" s="6">
        <v>2.6</v>
      </c>
    </row>
    <row r="29" spans="2:17" x14ac:dyDescent="0.25">
      <c r="P29" s="6">
        <v>0.81</v>
      </c>
      <c r="Q29" s="6">
        <v>2.7</v>
      </c>
    </row>
    <row r="30" spans="2:17" x14ac:dyDescent="0.25">
      <c r="P30" s="6">
        <v>0.82</v>
      </c>
      <c r="Q30" s="6">
        <v>2.8</v>
      </c>
    </row>
    <row r="31" spans="2:17" x14ac:dyDescent="0.25">
      <c r="P31" s="6">
        <v>0.83</v>
      </c>
      <c r="Q31" s="6">
        <v>2.9</v>
      </c>
    </row>
    <row r="32" spans="2:17" x14ac:dyDescent="0.25">
      <c r="P32" s="6">
        <v>0.84</v>
      </c>
      <c r="Q32" s="6">
        <v>3</v>
      </c>
    </row>
    <row r="33" spans="16:17" x14ac:dyDescent="0.25">
      <c r="P33" s="6">
        <v>0.85</v>
      </c>
      <c r="Q33" s="6">
        <v>3.1</v>
      </c>
    </row>
    <row r="34" spans="16:17" x14ac:dyDescent="0.25">
      <c r="P34" s="6">
        <v>0.86</v>
      </c>
      <c r="Q34" s="6">
        <v>3.2</v>
      </c>
    </row>
    <row r="35" spans="16:17" x14ac:dyDescent="0.25">
      <c r="P35" s="6">
        <v>0.87</v>
      </c>
      <c r="Q35" s="6">
        <v>3.3</v>
      </c>
    </row>
    <row r="36" spans="16:17" x14ac:dyDescent="0.25">
      <c r="P36" s="6">
        <v>0.88</v>
      </c>
      <c r="Q36" s="6">
        <v>3.4</v>
      </c>
    </row>
    <row r="37" spans="16:17" x14ac:dyDescent="0.25">
      <c r="P37" s="6">
        <v>0.89</v>
      </c>
      <c r="Q37" s="6">
        <v>3.5</v>
      </c>
    </row>
    <row r="38" spans="16:17" x14ac:dyDescent="0.25">
      <c r="P38" s="6">
        <v>0.9</v>
      </c>
      <c r="Q38" s="6">
        <v>3.6</v>
      </c>
    </row>
    <row r="39" spans="16:17" x14ac:dyDescent="0.25">
      <c r="P39" s="6">
        <v>0.91</v>
      </c>
      <c r="Q39" s="6">
        <v>3.7</v>
      </c>
    </row>
    <row r="40" spans="16:17" x14ac:dyDescent="0.25">
      <c r="P40" s="6">
        <v>0.92</v>
      </c>
      <c r="Q40" s="6">
        <v>3.8</v>
      </c>
    </row>
    <row r="41" spans="16:17" x14ac:dyDescent="0.25">
      <c r="P41" s="6">
        <v>0.93</v>
      </c>
      <c r="Q41" s="6">
        <v>3.9</v>
      </c>
    </row>
    <row r="42" spans="16:17" x14ac:dyDescent="0.25">
      <c r="P42" s="6">
        <v>0.94</v>
      </c>
      <c r="Q42" s="6">
        <v>4</v>
      </c>
    </row>
  </sheetData>
  <phoneticPr fontId="5" type="noConversion"/>
  <printOptions horizontalCentered="1"/>
  <pageMargins left="0.3" right="0.3" top="0.75" bottom="0.75" header="0.3" footer="0.3"/>
  <pageSetup orientation="landscape" r:id="rId1"/>
  <headerFooter>
    <oddFooter>&amp;L&amp;A&amp;C&amp;P of &amp;N&amp;R&amp;D -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79F5-D657-47EE-ABF5-36FDEDEBC5E8}">
  <sheetPr>
    <tabColor rgb="FFFF0000"/>
  </sheetPr>
  <dimension ref="B1:Q42"/>
  <sheetViews>
    <sheetView workbookViewId="0">
      <selection activeCell="N8" sqref="N8"/>
    </sheetView>
  </sheetViews>
  <sheetFormatPr defaultRowHeight="15" x14ac:dyDescent="0.25"/>
  <cols>
    <col min="2" max="2" width="11.7109375" customWidth="1"/>
    <col min="3" max="10" width="8.5703125" customWidth="1"/>
    <col min="11" max="11" width="11.7109375" customWidth="1"/>
    <col min="14" max="14" width="13.42578125" customWidth="1"/>
    <col min="17" max="17" width="13.42578125" customWidth="1"/>
  </cols>
  <sheetData>
    <row r="1" spans="2:17" x14ac:dyDescent="0.25">
      <c r="K1" s="40" t="s">
        <v>145</v>
      </c>
    </row>
    <row r="2" spans="2:17" x14ac:dyDescent="0.25">
      <c r="K2" s="6"/>
    </row>
    <row r="4" spans="2:17" x14ac:dyDescent="0.25">
      <c r="K4" s="40" t="s">
        <v>63</v>
      </c>
    </row>
    <row r="5" spans="2:17" x14ac:dyDescent="0.25">
      <c r="B5" s="40" t="s">
        <v>134</v>
      </c>
      <c r="C5" s="6">
        <v>100</v>
      </c>
      <c r="D5" s="6"/>
      <c r="E5" s="6"/>
      <c r="F5" s="6"/>
      <c r="G5" s="6"/>
      <c r="H5" s="6"/>
      <c r="I5" s="6"/>
      <c r="J5" s="6"/>
      <c r="K5" s="7">
        <f>SUM(C5:J5)</f>
        <v>100</v>
      </c>
    </row>
    <row r="7" spans="2:17" x14ac:dyDescent="0.25">
      <c r="B7" s="40" t="s">
        <v>133</v>
      </c>
      <c r="C7" s="40" t="s">
        <v>41</v>
      </c>
      <c r="D7" s="40" t="s">
        <v>42</v>
      </c>
      <c r="E7" s="40" t="s">
        <v>43</v>
      </c>
      <c r="F7" s="40" t="s">
        <v>44</v>
      </c>
      <c r="G7" s="40" t="s">
        <v>48</v>
      </c>
      <c r="H7" s="40" t="s">
        <v>49</v>
      </c>
      <c r="I7" s="40" t="s">
        <v>50</v>
      </c>
      <c r="J7" s="40" t="s">
        <v>51</v>
      </c>
      <c r="K7" s="40" t="s">
        <v>63</v>
      </c>
      <c r="L7" s="40" t="s">
        <v>64</v>
      </c>
      <c r="M7" s="40" t="s">
        <v>64</v>
      </c>
      <c r="N7" s="40" t="s">
        <v>79</v>
      </c>
      <c r="P7" s="40" t="s">
        <v>64</v>
      </c>
      <c r="Q7" s="40" t="s">
        <v>79</v>
      </c>
    </row>
    <row r="8" spans="2:17" x14ac:dyDescent="0.25">
      <c r="B8" s="6" t="s">
        <v>35</v>
      </c>
      <c r="C8" s="6">
        <v>88</v>
      </c>
      <c r="D8" s="6"/>
      <c r="E8" s="6"/>
      <c r="F8" s="6"/>
      <c r="G8" s="6"/>
      <c r="H8" s="6"/>
      <c r="I8" s="6"/>
      <c r="J8" s="6"/>
      <c r="K8" s="7">
        <f>SUM(C8:J8)+$K$2</f>
        <v>88</v>
      </c>
      <c r="L8" s="7">
        <f>ROUND(K8/$K$5,4)</f>
        <v>0.88</v>
      </c>
      <c r="M8" s="7" cm="1">
        <f t="array" ref="M8:M13">ROUND(K8:K13/K5,4)</f>
        <v>0.88</v>
      </c>
      <c r="N8" s="7" cm="1">
        <f t="array" ref="N8:N13">_xlfn.XLOOKUP(_xlfn.ANCHORARRAY(M8),P8:P42,Q8:Q42,,-1)</f>
        <v>3.4</v>
      </c>
      <c r="P8" s="6">
        <v>0</v>
      </c>
      <c r="Q8" s="6">
        <v>0</v>
      </c>
    </row>
    <row r="9" spans="2:17" x14ac:dyDescent="0.25">
      <c r="B9" s="6" t="s">
        <v>36</v>
      </c>
      <c r="C9" s="6">
        <v>87</v>
      </c>
      <c r="D9" s="6"/>
      <c r="E9" s="6"/>
      <c r="F9" s="6"/>
      <c r="G9" s="6"/>
      <c r="H9" s="6"/>
      <c r="I9" s="6"/>
      <c r="J9" s="6"/>
      <c r="K9" s="7">
        <f t="shared" ref="K9:K13" si="0">SUM(C9:J9)+$K$2</f>
        <v>87</v>
      </c>
      <c r="L9" s="7">
        <f t="shared" ref="L9:L13" si="1">ROUND(K9/$K$5,4)</f>
        <v>0.87</v>
      </c>
      <c r="M9" s="7">
        <v>0.87</v>
      </c>
      <c r="N9" s="7">
        <v>3.3</v>
      </c>
      <c r="P9" s="6">
        <v>0.61</v>
      </c>
      <c r="Q9" s="6">
        <v>0.7</v>
      </c>
    </row>
    <row r="10" spans="2:17" x14ac:dyDescent="0.25">
      <c r="B10" s="6" t="s">
        <v>37</v>
      </c>
      <c r="C10" s="6">
        <v>92</v>
      </c>
      <c r="D10" s="6"/>
      <c r="E10" s="6"/>
      <c r="F10" s="6"/>
      <c r="G10" s="6"/>
      <c r="H10" s="6"/>
      <c r="I10" s="6"/>
      <c r="J10" s="6"/>
      <c r="K10" s="7">
        <f t="shared" si="0"/>
        <v>92</v>
      </c>
      <c r="L10" s="7">
        <f t="shared" si="1"/>
        <v>0.92</v>
      </c>
      <c r="M10" s="7">
        <v>0.92</v>
      </c>
      <c r="N10" s="7">
        <v>3.8</v>
      </c>
      <c r="P10" s="6">
        <v>0.62</v>
      </c>
      <c r="Q10" s="6">
        <v>0.8</v>
      </c>
    </row>
    <row r="11" spans="2:17" x14ac:dyDescent="0.25">
      <c r="B11" s="6" t="s">
        <v>38</v>
      </c>
      <c r="C11" s="6">
        <v>98</v>
      </c>
      <c r="D11" s="6"/>
      <c r="E11" s="6"/>
      <c r="F11" s="6"/>
      <c r="G11" s="6"/>
      <c r="H11" s="6"/>
      <c r="I11" s="6"/>
      <c r="J11" s="6"/>
      <c r="K11" s="7">
        <f t="shared" si="0"/>
        <v>98</v>
      </c>
      <c r="L11" s="7">
        <f t="shared" si="1"/>
        <v>0.98</v>
      </c>
      <c r="M11" s="7">
        <v>0.98</v>
      </c>
      <c r="N11" s="7">
        <v>4</v>
      </c>
      <c r="P11" s="6">
        <v>0.63</v>
      </c>
      <c r="Q11" s="6">
        <v>0.9</v>
      </c>
    </row>
    <row r="12" spans="2:17" x14ac:dyDescent="0.25">
      <c r="B12" s="6" t="s">
        <v>39</v>
      </c>
      <c r="C12" s="6">
        <v>99</v>
      </c>
      <c r="D12" s="6"/>
      <c r="E12" s="6"/>
      <c r="F12" s="6"/>
      <c r="G12" s="6"/>
      <c r="H12" s="6"/>
      <c r="I12" s="6"/>
      <c r="J12" s="6"/>
      <c r="K12" s="7">
        <f t="shared" si="0"/>
        <v>99</v>
      </c>
      <c r="L12" s="7">
        <f t="shared" si="1"/>
        <v>0.99</v>
      </c>
      <c r="M12" s="7">
        <v>0.99</v>
      </c>
      <c r="N12" s="7">
        <v>4</v>
      </c>
      <c r="P12" s="6">
        <v>0.64</v>
      </c>
      <c r="Q12" s="6">
        <v>1</v>
      </c>
    </row>
    <row r="13" spans="2:17" x14ac:dyDescent="0.25">
      <c r="B13" s="6" t="s">
        <v>40</v>
      </c>
      <c r="C13" s="6">
        <v>52</v>
      </c>
      <c r="D13" s="6"/>
      <c r="E13" s="6"/>
      <c r="F13" s="6"/>
      <c r="G13" s="6"/>
      <c r="H13" s="6"/>
      <c r="I13" s="6"/>
      <c r="J13" s="6"/>
      <c r="K13" s="7">
        <f t="shared" si="0"/>
        <v>52</v>
      </c>
      <c r="L13" s="7">
        <f t="shared" si="1"/>
        <v>0.52</v>
      </c>
      <c r="M13" s="7">
        <v>0.52</v>
      </c>
      <c r="N13" s="7">
        <v>0</v>
      </c>
      <c r="P13" s="6">
        <v>0.65</v>
      </c>
      <c r="Q13" s="6">
        <v>1.1000000000000001</v>
      </c>
    </row>
    <row r="14" spans="2:17" x14ac:dyDescent="0.25">
      <c r="B14" s="40" t="s">
        <v>70</v>
      </c>
      <c r="C14" s="41">
        <f>IFERROR(AVERAGE(C8:C13),0)</f>
        <v>86</v>
      </c>
      <c r="D14" s="41">
        <f t="shared" ref="D14:N14" si="2">IFERROR(AVERAGE(D8:D13),0)</f>
        <v>0</v>
      </c>
      <c r="E14" s="41">
        <f t="shared" si="2"/>
        <v>0</v>
      </c>
      <c r="F14" s="41">
        <f t="shared" si="2"/>
        <v>0</v>
      </c>
      <c r="G14" s="41">
        <f t="shared" si="2"/>
        <v>0</v>
      </c>
      <c r="H14" s="41">
        <f t="shared" si="2"/>
        <v>0</v>
      </c>
      <c r="I14" s="41">
        <f t="shared" si="2"/>
        <v>0</v>
      </c>
      <c r="J14" s="41">
        <f t="shared" si="2"/>
        <v>0</v>
      </c>
      <c r="K14" s="41">
        <f t="shared" si="2"/>
        <v>86</v>
      </c>
      <c r="L14" s="42">
        <f t="shared" si="2"/>
        <v>0.86</v>
      </c>
      <c r="M14" s="42">
        <f t="shared" si="2"/>
        <v>0.86</v>
      </c>
      <c r="N14" s="7">
        <f t="shared" si="2"/>
        <v>3.0833333333333335</v>
      </c>
      <c r="P14" s="6">
        <v>0.66</v>
      </c>
      <c r="Q14" s="6">
        <v>1.2</v>
      </c>
    </row>
    <row r="15" spans="2:17" x14ac:dyDescent="0.25">
      <c r="P15" s="6">
        <v>0.67</v>
      </c>
      <c r="Q15" s="6">
        <v>1.3</v>
      </c>
    </row>
    <row r="16" spans="2:17" x14ac:dyDescent="0.25">
      <c r="B16" t="s">
        <v>128</v>
      </c>
      <c r="C16" t="s">
        <v>129</v>
      </c>
      <c r="D16" t="s">
        <v>130</v>
      </c>
      <c r="E16" t="s">
        <v>131</v>
      </c>
      <c r="F16" t="s">
        <v>132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P16" s="6">
        <v>0.68</v>
      </c>
      <c r="Q16" s="6">
        <v>1.4</v>
      </c>
    </row>
    <row r="17" spans="2:17" x14ac:dyDescent="0.25">
      <c r="B17" s="10">
        <v>45588</v>
      </c>
      <c r="C17" s="10">
        <v>45589</v>
      </c>
      <c r="D17" s="10">
        <v>45590</v>
      </c>
      <c r="E17" s="10">
        <v>45591</v>
      </c>
      <c r="F17" s="10">
        <v>45592</v>
      </c>
      <c r="G17" s="10">
        <v>45593</v>
      </c>
      <c r="H17" s="10">
        <v>45594</v>
      </c>
      <c r="I17" s="10">
        <v>45595</v>
      </c>
      <c r="J17" s="10">
        <v>45596</v>
      </c>
      <c r="K17" s="10">
        <v>45597</v>
      </c>
      <c r="M17">
        <f>M10</f>
        <v>0.92</v>
      </c>
      <c r="P17" s="6">
        <v>0.69</v>
      </c>
      <c r="Q17" s="6">
        <v>1.5</v>
      </c>
    </row>
    <row r="18" spans="2:17" x14ac:dyDescent="0.25">
      <c r="P18" s="6">
        <v>0.7</v>
      </c>
      <c r="Q18" s="6">
        <v>1.6</v>
      </c>
    </row>
    <row r="19" spans="2:17" x14ac:dyDescent="0.25"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P19" s="6">
        <v>0.71</v>
      </c>
      <c r="Q19" s="6">
        <v>1.7</v>
      </c>
    </row>
    <row r="20" spans="2:17" x14ac:dyDescent="0.25">
      <c r="B20" s="10">
        <v>45292</v>
      </c>
      <c r="C20" s="10">
        <v>45323</v>
      </c>
      <c r="D20" s="10">
        <v>45352</v>
      </c>
      <c r="E20" s="10">
        <v>45383</v>
      </c>
      <c r="F20" s="10">
        <v>45413</v>
      </c>
      <c r="G20" s="10">
        <v>45444</v>
      </c>
      <c r="H20" s="10">
        <v>45474</v>
      </c>
      <c r="I20" s="10">
        <v>45505</v>
      </c>
      <c r="J20" s="10">
        <v>45536</v>
      </c>
      <c r="K20" s="10">
        <v>45566</v>
      </c>
      <c r="P20" s="6">
        <v>0.72</v>
      </c>
      <c r="Q20" s="6">
        <v>1.8</v>
      </c>
    </row>
    <row r="21" spans="2:17" x14ac:dyDescent="0.25">
      <c r="P21" s="6">
        <v>0.73</v>
      </c>
      <c r="Q21" s="6">
        <v>1.9</v>
      </c>
    </row>
    <row r="22" spans="2:17" x14ac:dyDescent="0.25">
      <c r="B22" t="s">
        <v>60</v>
      </c>
      <c r="C22" t="s">
        <v>61</v>
      </c>
      <c r="D22" t="s">
        <v>62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P22" s="6">
        <v>0.74</v>
      </c>
      <c r="Q22" s="6">
        <v>2</v>
      </c>
    </row>
    <row r="23" spans="2:17" x14ac:dyDescent="0.25">
      <c r="B23" s="10">
        <v>45588</v>
      </c>
      <c r="C23" s="10">
        <v>45589</v>
      </c>
      <c r="D23" s="10">
        <v>45590</v>
      </c>
      <c r="E23" s="10">
        <v>45593</v>
      </c>
      <c r="F23" s="10">
        <v>45594</v>
      </c>
      <c r="G23" s="10">
        <v>45595</v>
      </c>
      <c r="H23" s="10">
        <v>45596</v>
      </c>
      <c r="I23" s="10">
        <v>45597</v>
      </c>
      <c r="P23" s="6">
        <v>0.75</v>
      </c>
      <c r="Q23" s="6">
        <v>2.1</v>
      </c>
    </row>
    <row r="24" spans="2:17" x14ac:dyDescent="0.25">
      <c r="P24" s="6">
        <v>0.76</v>
      </c>
      <c r="Q24" s="6">
        <v>2.2000000000000002</v>
      </c>
    </row>
    <row r="25" spans="2:17" x14ac:dyDescent="0.25">
      <c r="B25">
        <v>2</v>
      </c>
      <c r="C25">
        <v>5</v>
      </c>
      <c r="D25">
        <v>8</v>
      </c>
      <c r="E25">
        <v>11</v>
      </c>
      <c r="F25">
        <v>14</v>
      </c>
      <c r="G25">
        <v>17</v>
      </c>
      <c r="H25">
        <v>20</v>
      </c>
      <c r="I25">
        <v>23</v>
      </c>
      <c r="P25" s="6">
        <v>0.77</v>
      </c>
      <c r="Q25" s="6">
        <v>2.2999999999999998</v>
      </c>
    </row>
    <row r="26" spans="2:17" x14ac:dyDescent="0.25">
      <c r="P26" s="6">
        <v>0.78</v>
      </c>
      <c r="Q26" s="6">
        <v>2.4</v>
      </c>
    </row>
    <row r="27" spans="2:17" x14ac:dyDescent="0.25">
      <c r="P27" s="6">
        <v>0.79</v>
      </c>
      <c r="Q27" s="6">
        <v>2.5</v>
      </c>
    </row>
    <row r="28" spans="2:17" x14ac:dyDescent="0.25">
      <c r="P28" s="6">
        <v>0.8</v>
      </c>
      <c r="Q28" s="6">
        <v>2.6</v>
      </c>
    </row>
    <row r="29" spans="2:17" x14ac:dyDescent="0.25">
      <c r="P29" s="6">
        <v>0.81</v>
      </c>
      <c r="Q29" s="6">
        <v>2.7</v>
      </c>
    </row>
    <row r="30" spans="2:17" x14ac:dyDescent="0.25">
      <c r="P30" s="6">
        <v>0.82</v>
      </c>
      <c r="Q30" s="6">
        <v>2.8</v>
      </c>
    </row>
    <row r="31" spans="2:17" x14ac:dyDescent="0.25">
      <c r="P31" s="6">
        <v>0.83</v>
      </c>
      <c r="Q31" s="6">
        <v>2.9</v>
      </c>
    </row>
    <row r="32" spans="2:17" x14ac:dyDescent="0.25">
      <c r="P32" s="6">
        <v>0.84</v>
      </c>
      <c r="Q32" s="6">
        <v>3</v>
      </c>
    </row>
    <row r="33" spans="16:17" x14ac:dyDescent="0.25">
      <c r="P33" s="6">
        <v>0.85</v>
      </c>
      <c r="Q33" s="6">
        <v>3.1</v>
      </c>
    </row>
    <row r="34" spans="16:17" x14ac:dyDescent="0.25">
      <c r="P34" s="6">
        <v>0.86</v>
      </c>
      <c r="Q34" s="6">
        <v>3.2</v>
      </c>
    </row>
    <row r="35" spans="16:17" x14ac:dyDescent="0.25">
      <c r="P35" s="6">
        <v>0.87</v>
      </c>
      <c r="Q35" s="6">
        <v>3.3</v>
      </c>
    </row>
    <row r="36" spans="16:17" x14ac:dyDescent="0.25">
      <c r="P36" s="6">
        <v>0.88</v>
      </c>
      <c r="Q36" s="6">
        <v>3.4</v>
      </c>
    </row>
    <row r="37" spans="16:17" x14ac:dyDescent="0.25">
      <c r="P37" s="6">
        <v>0.89</v>
      </c>
      <c r="Q37" s="6">
        <v>3.5</v>
      </c>
    </row>
    <row r="38" spans="16:17" x14ac:dyDescent="0.25">
      <c r="P38" s="6">
        <v>0.9</v>
      </c>
      <c r="Q38" s="6">
        <v>3.6</v>
      </c>
    </row>
    <row r="39" spans="16:17" x14ac:dyDescent="0.25">
      <c r="P39" s="6">
        <v>0.91</v>
      </c>
      <c r="Q39" s="6">
        <v>3.7</v>
      </c>
    </row>
    <row r="40" spans="16:17" x14ac:dyDescent="0.25">
      <c r="P40" s="6">
        <v>0.92</v>
      </c>
      <c r="Q40" s="6">
        <v>3.8</v>
      </c>
    </row>
    <row r="41" spans="16:17" x14ac:dyDescent="0.25">
      <c r="P41" s="6">
        <v>0.93</v>
      </c>
      <c r="Q41" s="6">
        <v>3.9</v>
      </c>
    </row>
    <row r="42" spans="16:17" x14ac:dyDescent="0.25">
      <c r="P42" s="6">
        <v>0.94</v>
      </c>
      <c r="Q42" s="6">
        <v>4</v>
      </c>
    </row>
  </sheetData>
  <printOptions horizontalCentered="1"/>
  <pageMargins left="0.3" right="0.3" top="0.75" bottom="0.75" header="0.3" footer="0.3"/>
  <pageSetup orientation="landscape" r:id="rId1"/>
  <headerFooter>
    <oddFooter>&amp;L&amp;A&amp;C&amp;P of &amp;N&amp;R&amp;D -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5787-F6EE-41FE-B27D-FC7DBDFF5B6F}">
  <sheetPr>
    <tabColor rgb="FFFF0000"/>
  </sheetPr>
  <dimension ref="B1:Q42"/>
  <sheetViews>
    <sheetView workbookViewId="0">
      <selection activeCell="N8" sqref="N8"/>
    </sheetView>
  </sheetViews>
  <sheetFormatPr defaultRowHeight="15" x14ac:dyDescent="0.25"/>
  <cols>
    <col min="2" max="2" width="11.7109375" customWidth="1"/>
    <col min="3" max="10" width="8.5703125" customWidth="1"/>
    <col min="11" max="11" width="11.7109375" customWidth="1"/>
    <col min="14" max="14" width="13.42578125" customWidth="1"/>
    <col min="17" max="17" width="13.42578125" customWidth="1"/>
  </cols>
  <sheetData>
    <row r="1" spans="2:17" x14ac:dyDescent="0.25">
      <c r="K1" s="40" t="s">
        <v>145</v>
      </c>
    </row>
    <row r="2" spans="2:17" x14ac:dyDescent="0.25">
      <c r="K2" s="6">
        <v>5</v>
      </c>
    </row>
    <row r="4" spans="2:17" x14ac:dyDescent="0.25">
      <c r="K4" s="40" t="s">
        <v>63</v>
      </c>
    </row>
    <row r="5" spans="2:17" x14ac:dyDescent="0.25">
      <c r="B5" s="40" t="s">
        <v>134</v>
      </c>
      <c r="C5" s="6">
        <v>100</v>
      </c>
      <c r="D5" s="6">
        <v>100</v>
      </c>
      <c r="E5" s="6">
        <v>100</v>
      </c>
      <c r="F5" s="6">
        <v>100</v>
      </c>
      <c r="G5" s="6">
        <v>30</v>
      </c>
      <c r="H5" s="6">
        <v>30</v>
      </c>
      <c r="I5" s="6">
        <v>30</v>
      </c>
      <c r="J5" s="6">
        <v>30</v>
      </c>
      <c r="K5" s="7">
        <f>SUM(C5:J5)</f>
        <v>520</v>
      </c>
    </row>
    <row r="7" spans="2:17" x14ac:dyDescent="0.25">
      <c r="B7" s="40" t="s">
        <v>133</v>
      </c>
      <c r="C7" s="40" t="s">
        <v>41</v>
      </c>
      <c r="D7" s="40" t="s">
        <v>42</v>
      </c>
      <c r="E7" s="40" t="s">
        <v>43</v>
      </c>
      <c r="F7" s="40" t="s">
        <v>44</v>
      </c>
      <c r="G7" s="40" t="s">
        <v>48</v>
      </c>
      <c r="H7" s="40" t="s">
        <v>49</v>
      </c>
      <c r="I7" s="40" t="s">
        <v>50</v>
      </c>
      <c r="J7" s="40" t="s">
        <v>51</v>
      </c>
      <c r="K7" s="40" t="s">
        <v>63</v>
      </c>
      <c r="L7" s="40" t="s">
        <v>64</v>
      </c>
      <c r="M7" s="40" t="s">
        <v>64</v>
      </c>
      <c r="N7" s="40" t="s">
        <v>79</v>
      </c>
      <c r="P7" s="40" t="s">
        <v>64</v>
      </c>
      <c r="Q7" s="40" t="s">
        <v>79</v>
      </c>
    </row>
    <row r="8" spans="2:17" x14ac:dyDescent="0.25">
      <c r="B8" s="6" t="s">
        <v>35</v>
      </c>
      <c r="C8" s="6">
        <v>88</v>
      </c>
      <c r="D8" s="6">
        <v>87</v>
      </c>
      <c r="E8" s="6">
        <v>92</v>
      </c>
      <c r="F8" s="6">
        <v>100</v>
      </c>
      <c r="G8" s="6">
        <v>25</v>
      </c>
      <c r="H8" s="6">
        <v>21</v>
      </c>
      <c r="I8" s="6">
        <v>29</v>
      </c>
      <c r="J8" s="6">
        <v>29</v>
      </c>
      <c r="K8" s="7" cm="1">
        <f t="array" ref="K8:K13">_xlfn.BYROW(C8:J13,_xleta.SUM)+K2</f>
        <v>476</v>
      </c>
      <c r="L8" s="7">
        <f>ROUND(K8/$K$5,4)</f>
        <v>0.91539999999999999</v>
      </c>
      <c r="M8" s="7" cm="1">
        <f t="array" ref="M8:M13">ROUND(K8:K13/K5,4)</f>
        <v>0.91539999999999999</v>
      </c>
      <c r="N8" s="7" cm="1">
        <f t="array" ref="N8:N13">_xlfn.XLOOKUP(_xlfn.ANCHORARRAY(M8),P8:P42,Q8:Q42,,-1)</f>
        <v>3.7</v>
      </c>
      <c r="P8" s="6">
        <v>0</v>
      </c>
      <c r="Q8" s="6">
        <v>0</v>
      </c>
    </row>
    <row r="9" spans="2:17" x14ac:dyDescent="0.25">
      <c r="B9" s="6" t="s">
        <v>36</v>
      </c>
      <c r="C9" s="6">
        <v>78</v>
      </c>
      <c r="D9" s="6">
        <v>78</v>
      </c>
      <c r="E9" s="6">
        <v>87</v>
      </c>
      <c r="F9" s="6">
        <v>91</v>
      </c>
      <c r="G9" s="6">
        <v>24</v>
      </c>
      <c r="H9" s="6">
        <v>22</v>
      </c>
      <c r="I9" s="6">
        <v>30</v>
      </c>
      <c r="J9" s="6">
        <v>14</v>
      </c>
      <c r="K9" s="7">
        <v>429</v>
      </c>
      <c r="L9" s="7">
        <f t="shared" ref="L9:L13" si="0">ROUND(K9/$K$5,4)</f>
        <v>0.82499999999999996</v>
      </c>
      <c r="M9" s="7">
        <v>0.82499999999999996</v>
      </c>
      <c r="N9" s="7">
        <v>2.8</v>
      </c>
      <c r="P9" s="6">
        <v>0.61</v>
      </c>
      <c r="Q9" s="6">
        <v>0.7</v>
      </c>
    </row>
    <row r="10" spans="2:17" x14ac:dyDescent="0.25">
      <c r="B10" s="6" t="s">
        <v>37</v>
      </c>
      <c r="C10" s="6">
        <v>99</v>
      </c>
      <c r="D10" s="6">
        <v>92</v>
      </c>
      <c r="E10" s="6">
        <v>100</v>
      </c>
      <c r="F10" s="6">
        <v>99</v>
      </c>
      <c r="G10" s="6">
        <v>25</v>
      </c>
      <c r="H10" s="6">
        <v>25</v>
      </c>
      <c r="I10" s="6">
        <v>30</v>
      </c>
      <c r="J10" s="6">
        <v>28</v>
      </c>
      <c r="K10" s="7">
        <v>503</v>
      </c>
      <c r="L10" s="7">
        <f t="shared" si="0"/>
        <v>0.96730000000000005</v>
      </c>
      <c r="M10" s="7">
        <v>0.96730000000000005</v>
      </c>
      <c r="N10" s="7">
        <v>4</v>
      </c>
      <c r="P10" s="6">
        <v>0.62</v>
      </c>
      <c r="Q10" s="6">
        <v>0.8</v>
      </c>
    </row>
    <row r="11" spans="2:17" x14ac:dyDescent="0.25">
      <c r="B11" s="6" t="s">
        <v>38</v>
      </c>
      <c r="C11" s="6">
        <v>100</v>
      </c>
      <c r="D11" s="6">
        <v>91</v>
      </c>
      <c r="E11" s="6">
        <v>100</v>
      </c>
      <c r="F11" s="6">
        <v>98</v>
      </c>
      <c r="G11" s="6">
        <v>26</v>
      </c>
      <c r="H11" s="6">
        <v>24</v>
      </c>
      <c r="I11" s="6">
        <v>30</v>
      </c>
      <c r="J11" s="6">
        <v>27</v>
      </c>
      <c r="K11" s="7">
        <v>501</v>
      </c>
      <c r="L11" s="7">
        <f t="shared" si="0"/>
        <v>0.96350000000000002</v>
      </c>
      <c r="M11" s="7">
        <v>0.96350000000000002</v>
      </c>
      <c r="N11" s="7">
        <v>4</v>
      </c>
      <c r="P11" s="6">
        <v>0.63</v>
      </c>
      <c r="Q11" s="6">
        <v>0.9</v>
      </c>
    </row>
    <row r="12" spans="2:17" x14ac:dyDescent="0.25">
      <c r="B12" s="6" t="s">
        <v>39</v>
      </c>
      <c r="C12" s="6">
        <v>92</v>
      </c>
      <c r="D12" s="6">
        <v>98</v>
      </c>
      <c r="E12" s="6">
        <v>99</v>
      </c>
      <c r="F12" s="6">
        <v>90</v>
      </c>
      <c r="G12" s="6">
        <v>21</v>
      </c>
      <c r="H12" s="6">
        <v>19</v>
      </c>
      <c r="I12" s="6">
        <v>30</v>
      </c>
      <c r="J12" s="6">
        <v>29</v>
      </c>
      <c r="K12" s="7">
        <v>483</v>
      </c>
      <c r="L12" s="7">
        <f t="shared" si="0"/>
        <v>0.92879999999999996</v>
      </c>
      <c r="M12" s="7">
        <v>0.92879999999999996</v>
      </c>
      <c r="N12" s="7">
        <v>3.8</v>
      </c>
      <c r="P12" s="6">
        <v>0.64</v>
      </c>
      <c r="Q12" s="6">
        <v>1</v>
      </c>
    </row>
    <row r="13" spans="2:17" x14ac:dyDescent="0.25">
      <c r="B13" s="6" t="s">
        <v>40</v>
      </c>
      <c r="C13" s="6">
        <v>95</v>
      </c>
      <c r="D13" s="6">
        <v>87</v>
      </c>
      <c r="E13" s="6">
        <v>97</v>
      </c>
      <c r="F13" s="6">
        <v>84</v>
      </c>
      <c r="G13" s="6">
        <v>25</v>
      </c>
      <c r="H13" s="6">
        <v>18</v>
      </c>
      <c r="I13" s="6">
        <v>30</v>
      </c>
      <c r="J13" s="6">
        <v>30</v>
      </c>
      <c r="K13" s="7">
        <v>471</v>
      </c>
      <c r="L13" s="7">
        <f t="shared" si="0"/>
        <v>0.90580000000000005</v>
      </c>
      <c r="M13" s="7">
        <v>0.90580000000000005</v>
      </c>
      <c r="N13" s="7">
        <v>3.6</v>
      </c>
      <c r="P13" s="6">
        <v>0.65</v>
      </c>
      <c r="Q13" s="6">
        <v>1.1000000000000001</v>
      </c>
    </row>
    <row r="14" spans="2:17" x14ac:dyDescent="0.25">
      <c r="B14" s="40" t="s">
        <v>70</v>
      </c>
      <c r="C14" s="41" cm="1">
        <f t="array" ref="C14:N14">_xlfn.BYCOL(C8:N13,_xleta.AVERAGE)</f>
        <v>92</v>
      </c>
      <c r="D14" s="41">
        <v>88.833333333333329</v>
      </c>
      <c r="E14" s="41">
        <v>95.833333333333329</v>
      </c>
      <c r="F14" s="41">
        <v>93.666666666666671</v>
      </c>
      <c r="G14" s="41">
        <v>24.333333333333332</v>
      </c>
      <c r="H14" s="41">
        <v>21.5</v>
      </c>
      <c r="I14" s="41">
        <v>29.833333333333332</v>
      </c>
      <c r="J14" s="41">
        <v>26.166666666666668</v>
      </c>
      <c r="K14" s="41">
        <v>477.16666666666669</v>
      </c>
      <c r="L14" s="42">
        <v>0.9176333333333333</v>
      </c>
      <c r="M14" s="42">
        <v>0.9176333333333333</v>
      </c>
      <c r="N14" s="7">
        <v>3.6500000000000004</v>
      </c>
      <c r="P14" s="6">
        <v>0.66</v>
      </c>
      <c r="Q14" s="6">
        <v>1.2</v>
      </c>
    </row>
    <row r="15" spans="2:17" x14ac:dyDescent="0.25">
      <c r="P15" s="6">
        <v>0.67</v>
      </c>
      <c r="Q15" s="6">
        <v>1.3</v>
      </c>
    </row>
    <row r="16" spans="2:17" x14ac:dyDescent="0.25">
      <c r="B16" t="s">
        <v>128</v>
      </c>
      <c r="C16" t="s">
        <v>129</v>
      </c>
      <c r="D16" t="s">
        <v>130</v>
      </c>
      <c r="E16" t="s">
        <v>131</v>
      </c>
      <c r="F16" t="s">
        <v>132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P16" s="6">
        <v>0.68</v>
      </c>
      <c r="Q16" s="6">
        <v>1.4</v>
      </c>
    </row>
    <row r="17" spans="2:17" x14ac:dyDescent="0.25">
      <c r="B17" s="10">
        <v>45588</v>
      </c>
      <c r="C17" s="10">
        <v>45589</v>
      </c>
      <c r="D17" s="10">
        <v>45590</v>
      </c>
      <c r="E17" s="10">
        <v>45591</v>
      </c>
      <c r="F17" s="10">
        <v>45592</v>
      </c>
      <c r="G17" s="10">
        <v>45593</v>
      </c>
      <c r="H17" s="10">
        <v>45594</v>
      </c>
      <c r="I17" s="10">
        <v>45595</v>
      </c>
      <c r="J17" s="10">
        <v>45596</v>
      </c>
      <c r="K17" s="10">
        <v>45597</v>
      </c>
      <c r="M17">
        <f>M10</f>
        <v>0.96730000000000005</v>
      </c>
      <c r="P17" s="6">
        <v>0.69</v>
      </c>
      <c r="Q17" s="6">
        <v>1.5</v>
      </c>
    </row>
    <row r="18" spans="2:17" x14ac:dyDescent="0.25">
      <c r="P18" s="6">
        <v>0.7</v>
      </c>
      <c r="Q18" s="6">
        <v>1.6</v>
      </c>
    </row>
    <row r="19" spans="2:17" x14ac:dyDescent="0.25"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P19" s="6">
        <v>0.71</v>
      </c>
      <c r="Q19" s="6">
        <v>1.7</v>
      </c>
    </row>
    <row r="20" spans="2:17" x14ac:dyDescent="0.25">
      <c r="B20" s="10">
        <v>45292</v>
      </c>
      <c r="C20" s="10">
        <v>45323</v>
      </c>
      <c r="D20" s="10">
        <v>45352</v>
      </c>
      <c r="E20" s="10">
        <v>45383</v>
      </c>
      <c r="F20" s="10">
        <v>45413</v>
      </c>
      <c r="G20" s="10">
        <v>45444</v>
      </c>
      <c r="H20" s="10">
        <v>45474</v>
      </c>
      <c r="I20" s="10">
        <v>45505</v>
      </c>
      <c r="J20" s="10">
        <v>45536</v>
      </c>
      <c r="K20" s="10">
        <v>45566</v>
      </c>
      <c r="P20" s="6">
        <v>0.72</v>
      </c>
      <c r="Q20" s="6">
        <v>1.8</v>
      </c>
    </row>
    <row r="21" spans="2:17" x14ac:dyDescent="0.25">
      <c r="P21" s="6">
        <v>0.73</v>
      </c>
      <c r="Q21" s="6">
        <v>1.9</v>
      </c>
    </row>
    <row r="22" spans="2:17" x14ac:dyDescent="0.25">
      <c r="B22" t="s">
        <v>60</v>
      </c>
      <c r="C22" t="s">
        <v>61</v>
      </c>
      <c r="D22" t="s">
        <v>62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P22" s="6">
        <v>0.74</v>
      </c>
      <c r="Q22" s="6">
        <v>2</v>
      </c>
    </row>
    <row r="23" spans="2:17" x14ac:dyDescent="0.25">
      <c r="B23" s="10">
        <v>45588</v>
      </c>
      <c r="C23" s="10">
        <v>45589</v>
      </c>
      <c r="D23" s="10">
        <v>45590</v>
      </c>
      <c r="E23" s="10">
        <v>45593</v>
      </c>
      <c r="F23" s="10">
        <v>45594</v>
      </c>
      <c r="G23" s="10">
        <v>45595</v>
      </c>
      <c r="H23" s="10">
        <v>45596</v>
      </c>
      <c r="I23" s="10">
        <v>45597</v>
      </c>
      <c r="P23" s="6">
        <v>0.75</v>
      </c>
      <c r="Q23" s="6">
        <v>2.1</v>
      </c>
    </row>
    <row r="24" spans="2:17" x14ac:dyDescent="0.25">
      <c r="P24" s="6">
        <v>0.76</v>
      </c>
      <c r="Q24" s="6">
        <v>2.2000000000000002</v>
      </c>
    </row>
    <row r="25" spans="2:17" x14ac:dyDescent="0.25">
      <c r="B25">
        <v>2</v>
      </c>
      <c r="C25">
        <v>5</v>
      </c>
      <c r="D25">
        <v>8</v>
      </c>
      <c r="E25">
        <v>11</v>
      </c>
      <c r="F25">
        <v>14</v>
      </c>
      <c r="G25">
        <v>17</v>
      </c>
      <c r="H25">
        <v>20</v>
      </c>
      <c r="I25">
        <v>23</v>
      </c>
      <c r="P25" s="6">
        <v>0.77</v>
      </c>
      <c r="Q25" s="6">
        <v>2.2999999999999998</v>
      </c>
    </row>
    <row r="26" spans="2:17" x14ac:dyDescent="0.25">
      <c r="P26" s="6">
        <v>0.78</v>
      </c>
      <c r="Q26" s="6">
        <v>2.4</v>
      </c>
    </row>
    <row r="27" spans="2:17" x14ac:dyDescent="0.25">
      <c r="P27" s="6">
        <v>0.79</v>
      </c>
      <c r="Q27" s="6">
        <v>2.5</v>
      </c>
    </row>
    <row r="28" spans="2:17" x14ac:dyDescent="0.25">
      <c r="P28" s="6">
        <v>0.8</v>
      </c>
      <c r="Q28" s="6">
        <v>2.6</v>
      </c>
    </row>
    <row r="29" spans="2:17" x14ac:dyDescent="0.25">
      <c r="P29" s="6">
        <v>0.81</v>
      </c>
      <c r="Q29" s="6">
        <v>2.7</v>
      </c>
    </row>
    <row r="30" spans="2:17" x14ac:dyDescent="0.25">
      <c r="P30" s="6">
        <v>0.82</v>
      </c>
      <c r="Q30" s="6">
        <v>2.8</v>
      </c>
    </row>
    <row r="31" spans="2:17" x14ac:dyDescent="0.25">
      <c r="P31" s="6">
        <v>0.83</v>
      </c>
      <c r="Q31" s="6">
        <v>2.9</v>
      </c>
    </row>
    <row r="32" spans="2:17" x14ac:dyDescent="0.25">
      <c r="P32" s="6">
        <v>0.84</v>
      </c>
      <c r="Q32" s="6">
        <v>3</v>
      </c>
    </row>
    <row r="33" spans="16:17" x14ac:dyDescent="0.25">
      <c r="P33" s="6">
        <v>0.85</v>
      </c>
      <c r="Q33" s="6">
        <v>3.1</v>
      </c>
    </row>
    <row r="34" spans="16:17" x14ac:dyDescent="0.25">
      <c r="P34" s="6">
        <v>0.86</v>
      </c>
      <c r="Q34" s="6">
        <v>3.2</v>
      </c>
    </row>
    <row r="35" spans="16:17" x14ac:dyDescent="0.25">
      <c r="P35" s="6">
        <v>0.87</v>
      </c>
      <c r="Q35" s="6">
        <v>3.3</v>
      </c>
    </row>
    <row r="36" spans="16:17" x14ac:dyDescent="0.25">
      <c r="P36" s="6">
        <v>0.88</v>
      </c>
      <c r="Q36" s="6">
        <v>3.4</v>
      </c>
    </row>
    <row r="37" spans="16:17" x14ac:dyDescent="0.25">
      <c r="P37" s="6">
        <v>0.89</v>
      </c>
      <c r="Q37" s="6">
        <v>3.5</v>
      </c>
    </row>
    <row r="38" spans="16:17" x14ac:dyDescent="0.25">
      <c r="P38" s="6">
        <v>0.9</v>
      </c>
      <c r="Q38" s="6">
        <v>3.6</v>
      </c>
    </row>
    <row r="39" spans="16:17" x14ac:dyDescent="0.25">
      <c r="P39" s="6">
        <v>0.91</v>
      </c>
      <c r="Q39" s="6">
        <v>3.7</v>
      </c>
    </row>
    <row r="40" spans="16:17" x14ac:dyDescent="0.25">
      <c r="P40" s="6">
        <v>0.92</v>
      </c>
      <c r="Q40" s="6">
        <v>3.8</v>
      </c>
    </row>
    <row r="41" spans="16:17" x14ac:dyDescent="0.25">
      <c r="P41" s="6">
        <v>0.93</v>
      </c>
      <c r="Q41" s="6">
        <v>3.9</v>
      </c>
    </row>
    <row r="42" spans="16:17" x14ac:dyDescent="0.25">
      <c r="P42" s="6">
        <v>0.94</v>
      </c>
      <c r="Q42" s="6">
        <v>4</v>
      </c>
    </row>
  </sheetData>
  <printOptions horizontalCentered="1"/>
  <pageMargins left="0.3" right="0.3" top="0.75" bottom="0.75" header="0.3" footer="0.3"/>
  <pageSetup orientation="landscape" r:id="rId1"/>
  <headerFooter>
    <oddFooter>&amp;L&amp;A&amp;C&amp;P of &amp;N&amp;R&amp;D -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7924-647F-40C3-B9E6-24737EB78A95}">
  <sheetPr codeName="Sheet8">
    <tabColor rgb="FFFFFF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694A-6CC4-4C13-A45F-525AA5EB9BF8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CC1A-0CCA-4928-9420-4EEFD50C04F3}">
  <sheetPr>
    <tabColor rgb="FF0000FF"/>
  </sheetPr>
  <dimension ref="A1:R64"/>
  <sheetViews>
    <sheetView tabSelected="1" zoomScaleNormal="100" workbookViewId="0">
      <selection activeCell="X14" sqref="X14"/>
    </sheetView>
  </sheetViews>
  <sheetFormatPr defaultRowHeight="15" x14ac:dyDescent="0.25"/>
  <cols>
    <col min="1" max="1" width="10.140625" customWidth="1"/>
    <col min="2" max="2" width="17" customWidth="1"/>
    <col min="11" max="11" width="10.85546875" customWidth="1"/>
    <col min="14" max="14" width="12.28515625" customWidth="1"/>
    <col min="15" max="15" width="13.42578125" customWidth="1"/>
    <col min="16" max="16" width="3.28515625" customWidth="1"/>
    <col min="18" max="18" width="13.85546875" customWidth="1"/>
  </cols>
  <sheetData>
    <row r="1" spans="1:18" x14ac:dyDescent="0.25">
      <c r="A1" s="53" t="s">
        <v>177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8" x14ac:dyDescent="0.25">
      <c r="M2" s="61" t="s">
        <v>63</v>
      </c>
      <c r="N2" s="61" t="s">
        <v>145</v>
      </c>
    </row>
    <row r="3" spans="1:18" x14ac:dyDescent="0.25">
      <c r="B3" s="61" t="s">
        <v>134</v>
      </c>
      <c r="C3" s="6">
        <v>50</v>
      </c>
      <c r="D3" s="6">
        <v>50</v>
      </c>
      <c r="E3" s="6">
        <v>50</v>
      </c>
      <c r="F3" s="6">
        <v>50</v>
      </c>
      <c r="G3" s="6">
        <v>50</v>
      </c>
      <c r="H3" s="6">
        <v>50</v>
      </c>
      <c r="I3" s="6">
        <v>100</v>
      </c>
      <c r="J3" s="6">
        <v>75</v>
      </c>
      <c r="K3" s="6">
        <v>75</v>
      </c>
      <c r="L3" s="6">
        <v>200</v>
      </c>
      <c r="M3" s="6">
        <f>SUM(C3:L3)</f>
        <v>750</v>
      </c>
      <c r="N3" s="6">
        <v>5</v>
      </c>
    </row>
    <row r="5" spans="1:18" x14ac:dyDescent="0.25">
      <c r="B5" s="61" t="s">
        <v>161</v>
      </c>
      <c r="C5" s="61" t="s">
        <v>41</v>
      </c>
      <c r="D5" s="61" t="s">
        <v>42</v>
      </c>
      <c r="E5" s="61" t="s">
        <v>43</v>
      </c>
      <c r="F5" s="61" t="s">
        <v>44</v>
      </c>
      <c r="G5" s="61" t="s">
        <v>166</v>
      </c>
      <c r="H5" s="61" t="s">
        <v>167</v>
      </c>
      <c r="I5" s="61" t="s">
        <v>168</v>
      </c>
      <c r="J5" s="61" t="s">
        <v>167</v>
      </c>
      <c r="K5" s="61" t="s">
        <v>169</v>
      </c>
      <c r="L5" s="61" t="s">
        <v>170</v>
      </c>
      <c r="M5" s="61" t="s">
        <v>63</v>
      </c>
      <c r="N5" s="61" t="s">
        <v>208</v>
      </c>
      <c r="O5" s="61" t="s">
        <v>79</v>
      </c>
      <c r="Q5" s="62" t="s">
        <v>208</v>
      </c>
      <c r="R5" s="62" t="s">
        <v>79</v>
      </c>
    </row>
    <row r="6" spans="1:18" x14ac:dyDescent="0.25">
      <c r="B6" s="6" t="s">
        <v>174</v>
      </c>
      <c r="C6" s="6">
        <v>50</v>
      </c>
      <c r="D6" s="6">
        <v>49</v>
      </c>
      <c r="E6" s="6">
        <v>48</v>
      </c>
      <c r="F6" s="6">
        <v>49</v>
      </c>
      <c r="G6" s="6">
        <v>50</v>
      </c>
      <c r="H6" s="6">
        <v>33</v>
      </c>
      <c r="I6" s="6">
        <v>82</v>
      </c>
      <c r="J6" s="6">
        <v>50</v>
      </c>
      <c r="K6" s="6">
        <v>73</v>
      </c>
      <c r="L6" s="6">
        <v>175</v>
      </c>
      <c r="M6" s="7" cm="1">
        <f t="array" ref="M6:M13">_xlfn.BYROW(C6:L13,_xleta.SUM)+N3</f>
        <v>664</v>
      </c>
      <c r="N6" s="7" cm="1">
        <f t="array" ref="N6:N13">_xlfn.ANCHORARRAY(M6)/$M$3</f>
        <v>0.88533333333333331</v>
      </c>
      <c r="O6" s="7" cm="1">
        <f t="array" ref="O6:O13">_xlfn.XLOOKUP(_xlfn.ANCHORARRAY(N6),Q6:Q40,R6:R40,,-1)</f>
        <v>3.4</v>
      </c>
      <c r="Q6" s="65">
        <v>0</v>
      </c>
      <c r="R6" s="63">
        <v>0</v>
      </c>
    </row>
    <row r="7" spans="1:18" x14ac:dyDescent="0.25">
      <c r="B7" s="6" t="s">
        <v>171</v>
      </c>
      <c r="C7" s="6">
        <v>22</v>
      </c>
      <c r="D7" s="6">
        <v>36</v>
      </c>
      <c r="E7" s="6">
        <v>41</v>
      </c>
      <c r="F7" s="6">
        <v>33</v>
      </c>
      <c r="G7" s="6">
        <v>20</v>
      </c>
      <c r="H7" s="6">
        <v>48</v>
      </c>
      <c r="I7" s="6">
        <v>43</v>
      </c>
      <c r="J7" s="6">
        <v>40</v>
      </c>
      <c r="K7" s="6">
        <v>31</v>
      </c>
      <c r="L7" s="6">
        <v>142</v>
      </c>
      <c r="M7" s="7">
        <v>461</v>
      </c>
      <c r="N7" s="7">
        <v>0.61466666666666669</v>
      </c>
      <c r="O7" s="7">
        <v>1.5</v>
      </c>
      <c r="Q7" s="64">
        <v>0.45</v>
      </c>
      <c r="R7" s="63">
        <v>0.5</v>
      </c>
    </row>
    <row r="8" spans="1:18" x14ac:dyDescent="0.25">
      <c r="B8" s="6" t="s">
        <v>206</v>
      </c>
      <c r="C8" s="6">
        <v>26</v>
      </c>
      <c r="D8" s="6">
        <v>30</v>
      </c>
      <c r="E8" s="6">
        <v>10</v>
      </c>
      <c r="F8" s="6">
        <v>37</v>
      </c>
      <c r="G8" s="6">
        <v>29</v>
      </c>
      <c r="H8" s="6">
        <v>14</v>
      </c>
      <c r="I8" s="6">
        <v>99</v>
      </c>
      <c r="J8" s="6">
        <v>62</v>
      </c>
      <c r="K8" s="6">
        <v>0</v>
      </c>
      <c r="L8" s="6">
        <v>184</v>
      </c>
      <c r="M8" s="7">
        <v>496</v>
      </c>
      <c r="N8" s="7">
        <v>0.66133333333333333</v>
      </c>
      <c r="O8" s="7">
        <v>1.9</v>
      </c>
      <c r="Q8" s="64">
        <v>0.46500000000000002</v>
      </c>
      <c r="R8" s="63">
        <v>0.6</v>
      </c>
    </row>
    <row r="9" spans="1:18" x14ac:dyDescent="0.25">
      <c r="B9" s="6" t="s">
        <v>173</v>
      </c>
      <c r="C9" s="6">
        <v>41</v>
      </c>
      <c r="D9" s="6">
        <v>39</v>
      </c>
      <c r="E9" s="6">
        <v>38</v>
      </c>
      <c r="F9" s="6">
        <v>31</v>
      </c>
      <c r="G9" s="6">
        <v>37</v>
      </c>
      <c r="H9" s="6">
        <v>48</v>
      </c>
      <c r="I9" s="6">
        <v>77</v>
      </c>
      <c r="J9" s="6">
        <v>74</v>
      </c>
      <c r="K9" s="6">
        <v>70</v>
      </c>
      <c r="L9" s="6">
        <v>192</v>
      </c>
      <c r="M9" s="7">
        <v>652</v>
      </c>
      <c r="N9" s="7">
        <v>0.86933333333333329</v>
      </c>
      <c r="O9" s="7">
        <v>3.2</v>
      </c>
      <c r="Q9" s="64">
        <v>0.48</v>
      </c>
      <c r="R9" s="63">
        <v>0.7</v>
      </c>
    </row>
    <row r="10" spans="1:18" x14ac:dyDescent="0.25">
      <c r="B10" s="6" t="s">
        <v>164</v>
      </c>
      <c r="C10" s="6">
        <v>46</v>
      </c>
      <c r="D10" s="6">
        <v>45</v>
      </c>
      <c r="E10" s="6">
        <v>41</v>
      </c>
      <c r="F10" s="6">
        <v>45</v>
      </c>
      <c r="G10" s="6">
        <v>49</v>
      </c>
      <c r="H10" s="6">
        <v>50</v>
      </c>
      <c r="I10" s="6">
        <v>85</v>
      </c>
      <c r="J10" s="6">
        <v>75</v>
      </c>
      <c r="K10" s="6">
        <v>75</v>
      </c>
      <c r="L10" s="6">
        <v>182</v>
      </c>
      <c r="M10" s="7">
        <v>698</v>
      </c>
      <c r="N10" s="7">
        <v>0.93066666666666664</v>
      </c>
      <c r="O10" s="7">
        <v>3.7</v>
      </c>
      <c r="Q10" s="64">
        <v>0.495</v>
      </c>
      <c r="R10" s="63">
        <v>0.8</v>
      </c>
    </row>
    <row r="11" spans="1:18" x14ac:dyDescent="0.25">
      <c r="B11" s="6" t="s">
        <v>207</v>
      </c>
      <c r="C11" s="6">
        <v>46</v>
      </c>
      <c r="D11" s="6">
        <v>48</v>
      </c>
      <c r="E11" s="6">
        <v>46</v>
      </c>
      <c r="F11" s="6">
        <v>50</v>
      </c>
      <c r="G11" s="6">
        <v>48</v>
      </c>
      <c r="H11" s="6">
        <v>44</v>
      </c>
      <c r="I11" s="6">
        <v>99</v>
      </c>
      <c r="J11" s="6">
        <v>70</v>
      </c>
      <c r="K11" s="6">
        <v>68</v>
      </c>
      <c r="L11" s="6">
        <v>191</v>
      </c>
      <c r="M11" s="7">
        <v>715</v>
      </c>
      <c r="N11" s="7">
        <v>0.95333333333333337</v>
      </c>
      <c r="O11" s="7">
        <v>3.8</v>
      </c>
      <c r="Q11" s="64">
        <v>0.51</v>
      </c>
      <c r="R11" s="63">
        <v>0.9</v>
      </c>
    </row>
    <row r="12" spans="1:18" x14ac:dyDescent="0.25">
      <c r="B12" s="6" t="s">
        <v>172</v>
      </c>
      <c r="C12" s="6">
        <v>15</v>
      </c>
      <c r="D12" s="6">
        <v>29</v>
      </c>
      <c r="E12" s="6">
        <v>22</v>
      </c>
      <c r="F12" s="6">
        <v>31</v>
      </c>
      <c r="G12" s="6">
        <v>37</v>
      </c>
      <c r="H12" s="6">
        <v>11</v>
      </c>
      <c r="I12" s="6">
        <v>55</v>
      </c>
      <c r="J12" s="6">
        <v>42</v>
      </c>
      <c r="K12" s="6">
        <v>36</v>
      </c>
      <c r="L12" s="6">
        <v>87</v>
      </c>
      <c r="M12" s="7">
        <v>370</v>
      </c>
      <c r="N12" s="7">
        <v>0.49333333333333335</v>
      </c>
      <c r="O12" s="7">
        <v>0.7</v>
      </c>
      <c r="Q12" s="64">
        <v>0.52500000000000002</v>
      </c>
      <c r="R12" s="63">
        <v>1</v>
      </c>
    </row>
    <row r="13" spans="1:18" x14ac:dyDescent="0.25">
      <c r="B13" s="6" t="s">
        <v>162</v>
      </c>
      <c r="C13" s="6">
        <v>48</v>
      </c>
      <c r="D13" s="6">
        <v>49</v>
      </c>
      <c r="E13" s="6">
        <v>48</v>
      </c>
      <c r="F13" s="6">
        <v>45</v>
      </c>
      <c r="G13" s="6">
        <v>43</v>
      </c>
      <c r="H13" s="6">
        <v>45</v>
      </c>
      <c r="I13" s="6">
        <v>98</v>
      </c>
      <c r="J13" s="6">
        <v>71</v>
      </c>
      <c r="K13" s="6">
        <v>69</v>
      </c>
      <c r="L13" s="6">
        <v>195</v>
      </c>
      <c r="M13" s="7">
        <v>716</v>
      </c>
      <c r="N13" s="7">
        <v>0.95466666666666666</v>
      </c>
      <c r="O13" s="7">
        <v>3.8</v>
      </c>
      <c r="Q13" s="64">
        <v>0.54</v>
      </c>
      <c r="R13" s="63">
        <v>1.1000000000000001</v>
      </c>
    </row>
    <row r="14" spans="1:18" x14ac:dyDescent="0.25">
      <c r="B14" s="61" t="s">
        <v>70</v>
      </c>
      <c r="C14" s="7" cm="1">
        <f t="array" ref="C14:L14">_xlfn.BYCOL(C6:L13,_xleta.AVERAGE)</f>
        <v>36.75</v>
      </c>
      <c r="D14" s="7">
        <v>40.625</v>
      </c>
      <c r="E14" s="7">
        <v>36.75</v>
      </c>
      <c r="F14" s="7">
        <v>40.125</v>
      </c>
      <c r="G14" s="7">
        <v>39.125</v>
      </c>
      <c r="H14" s="7">
        <v>36.625</v>
      </c>
      <c r="I14" s="7">
        <v>79.75</v>
      </c>
      <c r="J14" s="7">
        <v>60.5</v>
      </c>
      <c r="K14" s="7">
        <v>52.75</v>
      </c>
      <c r="L14" s="7">
        <v>168.5</v>
      </c>
      <c r="M14" s="41">
        <f>AVERAGE(_xlfn.ANCHORARRAY(M6))</f>
        <v>596.5</v>
      </c>
      <c r="N14" s="7">
        <f>AVERAGE(_xlfn.ANCHORARRAY(N6))</f>
        <v>0.79533333333333334</v>
      </c>
      <c r="O14" s="7">
        <f>AVERAGE(_xlfn.ANCHORARRAY(O6))</f>
        <v>2.75</v>
      </c>
      <c r="Q14" s="64">
        <v>0.55500000000000005</v>
      </c>
      <c r="R14" s="63">
        <v>1.2</v>
      </c>
    </row>
    <row r="15" spans="1:18" x14ac:dyDescent="0.25">
      <c r="Q15" s="64">
        <v>0.56999999999999995</v>
      </c>
      <c r="R15" s="63">
        <v>1.3</v>
      </c>
    </row>
    <row r="16" spans="1:18" x14ac:dyDescent="0.25">
      <c r="Q16" s="64">
        <v>0.58499999999999996</v>
      </c>
      <c r="R16" s="63">
        <v>1.4</v>
      </c>
    </row>
    <row r="17" spans="17:18" x14ac:dyDescent="0.25">
      <c r="Q17" s="64">
        <v>0.6</v>
      </c>
      <c r="R17" s="63">
        <v>1.5</v>
      </c>
    </row>
    <row r="18" spans="17:18" x14ac:dyDescent="0.25">
      <c r="Q18" s="64">
        <v>0.61499999999999999</v>
      </c>
      <c r="R18" s="63">
        <v>1.6</v>
      </c>
    </row>
    <row r="19" spans="17:18" x14ac:dyDescent="0.25">
      <c r="Q19" s="64">
        <v>0.63</v>
      </c>
      <c r="R19" s="63">
        <v>1.7</v>
      </c>
    </row>
    <row r="20" spans="17:18" x14ac:dyDescent="0.25">
      <c r="Q20" s="64">
        <v>0.64500000000000002</v>
      </c>
      <c r="R20" s="63">
        <v>1.8</v>
      </c>
    </row>
    <row r="21" spans="17:18" x14ac:dyDescent="0.25">
      <c r="Q21" s="64">
        <v>0.66</v>
      </c>
      <c r="R21" s="63">
        <v>1.9</v>
      </c>
    </row>
    <row r="22" spans="17:18" x14ac:dyDescent="0.25">
      <c r="Q22" s="64">
        <v>0.67500000000000004</v>
      </c>
      <c r="R22" s="63">
        <v>2</v>
      </c>
    </row>
    <row r="23" spans="17:18" x14ac:dyDescent="0.25">
      <c r="Q23" s="64">
        <v>0.69</v>
      </c>
      <c r="R23" s="63">
        <v>2.1</v>
      </c>
    </row>
    <row r="24" spans="17:18" x14ac:dyDescent="0.25">
      <c r="Q24" s="64">
        <v>0.70499999999999996</v>
      </c>
      <c r="R24" s="63">
        <v>2.2000000000000002</v>
      </c>
    </row>
    <row r="25" spans="17:18" x14ac:dyDescent="0.25">
      <c r="Q25" s="64">
        <v>0.72</v>
      </c>
      <c r="R25" s="63">
        <v>2.2999999999999998</v>
      </c>
    </row>
    <row r="26" spans="17:18" x14ac:dyDescent="0.25">
      <c r="Q26" s="64">
        <v>0.73499999999999999</v>
      </c>
      <c r="R26" s="63">
        <v>2.4</v>
      </c>
    </row>
    <row r="27" spans="17:18" x14ac:dyDescent="0.25">
      <c r="Q27" s="64">
        <v>0.75</v>
      </c>
      <c r="R27" s="63">
        <v>2.5</v>
      </c>
    </row>
    <row r="28" spans="17:18" x14ac:dyDescent="0.25">
      <c r="Q28" s="64">
        <v>0.76500000000000001</v>
      </c>
      <c r="R28" s="63">
        <v>2.6</v>
      </c>
    </row>
    <row r="29" spans="17:18" x14ac:dyDescent="0.25">
      <c r="Q29" s="64">
        <v>0.78</v>
      </c>
      <c r="R29" s="63">
        <v>2.7</v>
      </c>
    </row>
    <row r="30" spans="17:18" x14ac:dyDescent="0.25">
      <c r="Q30" s="64">
        <v>0.79500000000000004</v>
      </c>
      <c r="R30" s="63">
        <v>2.8</v>
      </c>
    </row>
    <row r="31" spans="17:18" x14ac:dyDescent="0.25">
      <c r="Q31" s="64">
        <v>0.81</v>
      </c>
      <c r="R31" s="63">
        <v>2.9</v>
      </c>
    </row>
    <row r="32" spans="17:18" x14ac:dyDescent="0.25">
      <c r="Q32" s="64">
        <v>0.82499999999999996</v>
      </c>
      <c r="R32" s="63">
        <v>3</v>
      </c>
    </row>
    <row r="33" spans="17:18" x14ac:dyDescent="0.25">
      <c r="Q33" s="64">
        <v>0.84</v>
      </c>
      <c r="R33" s="63">
        <v>3.1</v>
      </c>
    </row>
    <row r="34" spans="17:18" x14ac:dyDescent="0.25">
      <c r="Q34" s="64">
        <v>0.85499999999999998</v>
      </c>
      <c r="R34" s="63">
        <v>3.2</v>
      </c>
    </row>
    <row r="35" spans="17:18" x14ac:dyDescent="0.25">
      <c r="Q35" s="64">
        <v>0.87</v>
      </c>
      <c r="R35" s="63">
        <v>3.3</v>
      </c>
    </row>
    <row r="36" spans="17:18" x14ac:dyDescent="0.25">
      <c r="Q36" s="64">
        <v>0.88500000000000001</v>
      </c>
      <c r="R36" s="63">
        <v>3.4</v>
      </c>
    </row>
    <row r="37" spans="17:18" x14ac:dyDescent="0.25">
      <c r="Q37" s="64">
        <v>0.9</v>
      </c>
      <c r="R37" s="63">
        <v>3.5</v>
      </c>
    </row>
    <row r="38" spans="17:18" x14ac:dyDescent="0.25">
      <c r="Q38" s="64">
        <v>0.91500000000000004</v>
      </c>
      <c r="R38" s="63">
        <v>3.6</v>
      </c>
    </row>
    <row r="39" spans="17:18" x14ac:dyDescent="0.25">
      <c r="Q39" s="64">
        <v>0.93</v>
      </c>
      <c r="R39" s="63">
        <v>3.7</v>
      </c>
    </row>
    <row r="40" spans="17:18" x14ac:dyDescent="0.25">
      <c r="Q40" s="64">
        <v>0.94499999999999995</v>
      </c>
      <c r="R40" s="63">
        <v>3.8</v>
      </c>
    </row>
    <row r="41" spans="17:18" x14ac:dyDescent="0.25">
      <c r="Q41" s="64">
        <v>0.96</v>
      </c>
      <c r="R41" s="63">
        <v>3.9</v>
      </c>
    </row>
    <row r="42" spans="17:18" x14ac:dyDescent="0.25">
      <c r="Q42" s="64">
        <v>0.97499999999999998</v>
      </c>
      <c r="R42" s="63">
        <v>4</v>
      </c>
    </row>
    <row r="52" spans="2:15" x14ac:dyDescent="0.25">
      <c r="B52" s="40" t="s">
        <v>70</v>
      </c>
      <c r="C52" s="41" cm="1">
        <f t="array" ref="C52:L52">_xlfn.BYCOL(C6:L13,_xleta.AVERAGE)</f>
        <v>36.75</v>
      </c>
      <c r="D52" s="41">
        <v>40.625</v>
      </c>
      <c r="E52" s="41">
        <v>36.75</v>
      </c>
      <c r="F52" s="41">
        <v>40.125</v>
      </c>
      <c r="G52" s="41">
        <v>39.125</v>
      </c>
      <c r="H52" s="41">
        <v>36.625</v>
      </c>
      <c r="I52" s="41">
        <v>79.75</v>
      </c>
      <c r="J52" s="41">
        <v>60.5</v>
      </c>
      <c r="K52" s="41">
        <v>52.75</v>
      </c>
      <c r="L52" s="41">
        <v>168.5</v>
      </c>
      <c r="M52" s="41"/>
      <c r="N52" s="7"/>
      <c r="O52" s="7"/>
    </row>
    <row r="55" spans="2:15" x14ac:dyDescent="0.25">
      <c r="B55" s="40" t="s">
        <v>63</v>
      </c>
    </row>
    <row r="56" spans="2:15" x14ac:dyDescent="0.25">
      <c r="B56" s="7" cm="1">
        <f t="array" ref="B56:B63">_xlfn.BYROW(C6:L13,_xleta.SUM)+N3</f>
        <v>664</v>
      </c>
    </row>
    <row r="57" spans="2:15" x14ac:dyDescent="0.25">
      <c r="B57" s="7">
        <v>461</v>
      </c>
    </row>
    <row r="58" spans="2:15" x14ac:dyDescent="0.25">
      <c r="B58" s="7">
        <v>496</v>
      </c>
    </row>
    <row r="59" spans="2:15" x14ac:dyDescent="0.25">
      <c r="B59" s="7">
        <v>652</v>
      </c>
    </row>
    <row r="60" spans="2:15" x14ac:dyDescent="0.25">
      <c r="B60" s="7">
        <v>698</v>
      </c>
    </row>
    <row r="61" spans="2:15" x14ac:dyDescent="0.25">
      <c r="B61" s="7">
        <v>715</v>
      </c>
    </row>
    <row r="62" spans="2:15" x14ac:dyDescent="0.25">
      <c r="B62" s="7">
        <v>370</v>
      </c>
    </row>
    <row r="63" spans="2:15" x14ac:dyDescent="0.25">
      <c r="B63" s="7">
        <v>716</v>
      </c>
    </row>
    <row r="64" spans="2:15" x14ac:dyDescent="0.25">
      <c r="B64" s="41"/>
    </row>
  </sheetData>
  <sortState xmlns:xlrd2="http://schemas.microsoft.com/office/spreadsheetml/2017/richdata2" ref="A6:L13">
    <sortCondition ref="A6:A13"/>
  </sortState>
  <phoneticPr fontId="5" type="noConversion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7733-E5AA-4738-80AC-773AD9AD5339}">
  <sheetPr>
    <tabColor rgb="FFFF0000"/>
    <pageSetUpPr fitToPage="1"/>
  </sheetPr>
  <dimension ref="B2:R64"/>
  <sheetViews>
    <sheetView zoomScale="85" zoomScaleNormal="85" workbookViewId="0"/>
  </sheetViews>
  <sheetFormatPr defaultRowHeight="15" x14ac:dyDescent="0.25"/>
  <cols>
    <col min="1" max="1" width="3.7109375" customWidth="1"/>
    <col min="2" max="2" width="15.42578125" bestFit="1" customWidth="1"/>
    <col min="14" max="14" width="12.28515625" customWidth="1"/>
    <col min="15" max="15" width="13.42578125" customWidth="1"/>
    <col min="16" max="16" width="2.28515625" customWidth="1"/>
    <col min="18" max="18" width="12.85546875" bestFit="1" customWidth="1"/>
  </cols>
  <sheetData>
    <row r="2" spans="2:18" x14ac:dyDescent="0.25">
      <c r="M2" s="40" t="s">
        <v>63</v>
      </c>
      <c r="N2" s="40" t="s">
        <v>145</v>
      </c>
    </row>
    <row r="3" spans="2:18" x14ac:dyDescent="0.25">
      <c r="B3" s="40" t="s">
        <v>134</v>
      </c>
      <c r="C3" s="6">
        <v>50</v>
      </c>
      <c r="D3" s="6">
        <v>50</v>
      </c>
      <c r="E3" s="6">
        <v>50</v>
      </c>
      <c r="F3" s="6">
        <v>50</v>
      </c>
      <c r="G3" s="6">
        <v>50</v>
      </c>
      <c r="H3" s="6">
        <v>50</v>
      </c>
      <c r="I3" s="6">
        <v>100</v>
      </c>
      <c r="J3" s="6">
        <v>75</v>
      </c>
      <c r="K3" s="6">
        <v>75</v>
      </c>
      <c r="L3" s="6">
        <v>200</v>
      </c>
      <c r="M3" s="7">
        <f>SUM(C3:L3)</f>
        <v>750</v>
      </c>
      <c r="N3" s="6">
        <v>5</v>
      </c>
    </row>
    <row r="5" spans="2:18" x14ac:dyDescent="0.25">
      <c r="B5" s="40" t="s">
        <v>161</v>
      </c>
      <c r="C5" s="40" t="s">
        <v>41</v>
      </c>
      <c r="D5" s="40" t="s">
        <v>42</v>
      </c>
      <c r="E5" s="40" t="s">
        <v>43</v>
      </c>
      <c r="F5" s="40" t="s">
        <v>44</v>
      </c>
      <c r="G5" s="40" t="s">
        <v>166</v>
      </c>
      <c r="H5" s="40" t="s">
        <v>167</v>
      </c>
      <c r="I5" s="40" t="s">
        <v>168</v>
      </c>
      <c r="J5" s="40" t="s">
        <v>167</v>
      </c>
      <c r="K5" s="40" t="s">
        <v>169</v>
      </c>
      <c r="L5" s="40" t="s">
        <v>170</v>
      </c>
      <c r="M5" s="40" t="s">
        <v>63</v>
      </c>
      <c r="N5" s="40" t="s">
        <v>64</v>
      </c>
      <c r="O5" s="40" t="s">
        <v>79</v>
      </c>
      <c r="Q5" s="40" t="s">
        <v>64</v>
      </c>
      <c r="R5" s="40" t="s">
        <v>79</v>
      </c>
    </row>
    <row r="6" spans="2:18" x14ac:dyDescent="0.25">
      <c r="B6" s="6" t="s">
        <v>174</v>
      </c>
      <c r="C6" s="6">
        <v>50</v>
      </c>
      <c r="D6" s="6">
        <v>49</v>
      </c>
      <c r="E6" s="6">
        <v>48</v>
      </c>
      <c r="F6" s="6">
        <v>49</v>
      </c>
      <c r="G6" s="6">
        <v>50</v>
      </c>
      <c r="H6" s="6">
        <v>33</v>
      </c>
      <c r="I6" s="6">
        <v>82</v>
      </c>
      <c r="J6" s="6">
        <v>50</v>
      </c>
      <c r="K6" s="6">
        <v>73</v>
      </c>
      <c r="L6" s="6">
        <v>175</v>
      </c>
      <c r="M6" s="7">
        <f t="shared" ref="M6:M13" si="0">SUM(C6:L6)+$N$3</f>
        <v>664</v>
      </c>
      <c r="N6" s="7">
        <f t="shared" ref="N6:N13" si="1">M6/$M$3</f>
        <v>0.88533333333333331</v>
      </c>
      <c r="O6" s="7" cm="1">
        <f t="array" ref="O6:O13">_xlfn.XLOOKUP(N6:N13,Q6:Q40,R6:R40,,-1)</f>
        <v>3.4</v>
      </c>
      <c r="Q6" s="6">
        <v>0</v>
      </c>
      <c r="R6" s="6">
        <v>0</v>
      </c>
    </row>
    <row r="7" spans="2:18" x14ac:dyDescent="0.25">
      <c r="B7" s="6" t="s">
        <v>171</v>
      </c>
      <c r="C7" s="6">
        <v>22</v>
      </c>
      <c r="D7" s="6">
        <v>36</v>
      </c>
      <c r="E7" s="6">
        <v>41</v>
      </c>
      <c r="F7" s="6">
        <v>33</v>
      </c>
      <c r="G7" s="6">
        <v>20</v>
      </c>
      <c r="H7" s="6">
        <v>48</v>
      </c>
      <c r="I7" s="6">
        <v>43</v>
      </c>
      <c r="J7" s="6">
        <v>40</v>
      </c>
      <c r="K7" s="6">
        <v>31</v>
      </c>
      <c r="L7" s="6">
        <v>142</v>
      </c>
      <c r="M7" s="7">
        <f t="shared" si="0"/>
        <v>461</v>
      </c>
      <c r="N7" s="7">
        <f t="shared" si="1"/>
        <v>0.61466666666666669</v>
      </c>
      <c r="O7" s="7">
        <v>1.5</v>
      </c>
      <c r="Q7" s="51">
        <v>0.45</v>
      </c>
      <c r="R7" s="6">
        <v>0.5</v>
      </c>
    </row>
    <row r="8" spans="2:18" x14ac:dyDescent="0.25">
      <c r="B8" s="6" t="s">
        <v>165</v>
      </c>
      <c r="C8" s="6">
        <v>26</v>
      </c>
      <c r="D8" s="6">
        <v>30</v>
      </c>
      <c r="E8" s="6">
        <v>10</v>
      </c>
      <c r="F8" s="6">
        <v>37</v>
      </c>
      <c r="G8" s="6">
        <v>29</v>
      </c>
      <c r="H8" s="6">
        <v>14</v>
      </c>
      <c r="I8" s="6">
        <v>99</v>
      </c>
      <c r="J8" s="6">
        <v>62</v>
      </c>
      <c r="K8" s="6">
        <v>0</v>
      </c>
      <c r="L8" s="6">
        <v>184</v>
      </c>
      <c r="M8" s="7">
        <f t="shared" si="0"/>
        <v>496</v>
      </c>
      <c r="N8" s="7">
        <f t="shared" si="1"/>
        <v>0.66133333333333333</v>
      </c>
      <c r="O8" s="7">
        <v>1.9</v>
      </c>
      <c r="Q8" s="51">
        <v>0.46500000000000002</v>
      </c>
      <c r="R8" s="6">
        <v>0.6</v>
      </c>
    </row>
    <row r="9" spans="2:18" x14ac:dyDescent="0.25">
      <c r="B9" s="6" t="s">
        <v>173</v>
      </c>
      <c r="C9" s="6">
        <v>41</v>
      </c>
      <c r="D9" s="6">
        <v>39</v>
      </c>
      <c r="E9" s="6">
        <v>38</v>
      </c>
      <c r="F9" s="6">
        <v>31</v>
      </c>
      <c r="G9" s="6">
        <v>37</v>
      </c>
      <c r="H9" s="6">
        <v>48</v>
      </c>
      <c r="I9" s="6">
        <v>77</v>
      </c>
      <c r="J9" s="6">
        <v>74</v>
      </c>
      <c r="K9" s="6">
        <v>70</v>
      </c>
      <c r="L9" s="6">
        <v>192</v>
      </c>
      <c r="M9" s="7">
        <f t="shared" si="0"/>
        <v>652</v>
      </c>
      <c r="N9" s="7">
        <f t="shared" si="1"/>
        <v>0.86933333333333329</v>
      </c>
      <c r="O9" s="7">
        <v>3.2</v>
      </c>
      <c r="Q9" s="51">
        <v>0.48</v>
      </c>
      <c r="R9" s="6">
        <v>0.7</v>
      </c>
    </row>
    <row r="10" spans="2:18" x14ac:dyDescent="0.25">
      <c r="B10" s="6" t="s">
        <v>164</v>
      </c>
      <c r="C10" s="6">
        <v>46</v>
      </c>
      <c r="D10" s="6">
        <v>45</v>
      </c>
      <c r="E10" s="6">
        <v>41</v>
      </c>
      <c r="F10" s="6">
        <v>45</v>
      </c>
      <c r="G10" s="6">
        <v>49</v>
      </c>
      <c r="H10" s="6">
        <v>50</v>
      </c>
      <c r="I10" s="6">
        <v>85</v>
      </c>
      <c r="J10" s="6">
        <v>75</v>
      </c>
      <c r="K10" s="6">
        <v>75</v>
      </c>
      <c r="L10" s="6">
        <v>182</v>
      </c>
      <c r="M10" s="7">
        <f t="shared" si="0"/>
        <v>698</v>
      </c>
      <c r="N10" s="7">
        <f t="shared" si="1"/>
        <v>0.93066666666666664</v>
      </c>
      <c r="O10" s="7">
        <v>3.7</v>
      </c>
      <c r="Q10" s="51">
        <v>0.495</v>
      </c>
      <c r="R10" s="6">
        <v>0.8</v>
      </c>
    </row>
    <row r="11" spans="2:18" x14ac:dyDescent="0.25">
      <c r="B11" s="6" t="s">
        <v>163</v>
      </c>
      <c r="C11" s="6">
        <v>46</v>
      </c>
      <c r="D11" s="6">
        <v>48</v>
      </c>
      <c r="E11" s="6">
        <v>46</v>
      </c>
      <c r="F11" s="6">
        <v>50</v>
      </c>
      <c r="G11" s="6">
        <v>48</v>
      </c>
      <c r="H11" s="6">
        <v>44</v>
      </c>
      <c r="I11" s="6">
        <v>99</v>
      </c>
      <c r="J11" s="6">
        <v>70</v>
      </c>
      <c r="K11" s="6">
        <v>68</v>
      </c>
      <c r="L11" s="6">
        <v>191</v>
      </c>
      <c r="M11" s="7">
        <f t="shared" si="0"/>
        <v>715</v>
      </c>
      <c r="N11" s="7">
        <f t="shared" si="1"/>
        <v>0.95333333333333337</v>
      </c>
      <c r="O11" s="7">
        <v>3.8</v>
      </c>
      <c r="Q11" s="51">
        <v>0.51</v>
      </c>
      <c r="R11" s="6">
        <v>0.9</v>
      </c>
    </row>
    <row r="12" spans="2:18" x14ac:dyDescent="0.25">
      <c r="B12" s="6" t="s">
        <v>172</v>
      </c>
      <c r="C12" s="6">
        <v>15</v>
      </c>
      <c r="D12" s="6">
        <v>29</v>
      </c>
      <c r="E12" s="6">
        <v>22</v>
      </c>
      <c r="F12" s="6">
        <v>31</v>
      </c>
      <c r="G12" s="6">
        <v>37</v>
      </c>
      <c r="H12" s="6">
        <v>11</v>
      </c>
      <c r="I12" s="6">
        <v>55</v>
      </c>
      <c r="J12" s="6">
        <v>42</v>
      </c>
      <c r="K12" s="6">
        <v>36</v>
      </c>
      <c r="L12" s="6">
        <v>87</v>
      </c>
      <c r="M12" s="7">
        <f t="shared" si="0"/>
        <v>370</v>
      </c>
      <c r="N12" s="7">
        <f t="shared" si="1"/>
        <v>0.49333333333333335</v>
      </c>
      <c r="O12" s="7">
        <v>0.7</v>
      </c>
      <c r="Q12" s="51">
        <v>0.52500000000000002</v>
      </c>
      <c r="R12" s="6">
        <v>1</v>
      </c>
    </row>
    <row r="13" spans="2:18" x14ac:dyDescent="0.25">
      <c r="B13" s="6" t="s">
        <v>162</v>
      </c>
      <c r="C13" s="6">
        <v>48</v>
      </c>
      <c r="D13" s="6">
        <v>49</v>
      </c>
      <c r="E13" s="6">
        <v>48</v>
      </c>
      <c r="F13" s="6">
        <v>45</v>
      </c>
      <c r="G13" s="6">
        <v>43</v>
      </c>
      <c r="H13" s="6">
        <v>45</v>
      </c>
      <c r="I13" s="6">
        <v>98</v>
      </c>
      <c r="J13" s="6">
        <v>71</v>
      </c>
      <c r="K13" s="6">
        <v>69</v>
      </c>
      <c r="L13" s="6">
        <v>195</v>
      </c>
      <c r="M13" s="7">
        <f t="shared" si="0"/>
        <v>716</v>
      </c>
      <c r="N13" s="7">
        <f t="shared" si="1"/>
        <v>0.95466666666666666</v>
      </c>
      <c r="O13" s="7">
        <v>3.8</v>
      </c>
      <c r="Q13" s="51">
        <v>0.54</v>
      </c>
      <c r="R13" s="6">
        <v>1.1000000000000001</v>
      </c>
    </row>
    <row r="14" spans="2:18" x14ac:dyDescent="0.25">
      <c r="B14" s="40" t="s">
        <v>70</v>
      </c>
      <c r="C14" s="41">
        <f t="shared" ref="C14:O14" si="2">AVERAGE(C6:C13)</f>
        <v>36.75</v>
      </c>
      <c r="D14" s="41">
        <f t="shared" si="2"/>
        <v>40.625</v>
      </c>
      <c r="E14" s="41">
        <f t="shared" si="2"/>
        <v>36.75</v>
      </c>
      <c r="F14" s="41">
        <f t="shared" si="2"/>
        <v>40.125</v>
      </c>
      <c r="G14" s="41">
        <f t="shared" si="2"/>
        <v>39.125</v>
      </c>
      <c r="H14" s="41">
        <f t="shared" si="2"/>
        <v>36.625</v>
      </c>
      <c r="I14" s="41">
        <f t="shared" si="2"/>
        <v>79.75</v>
      </c>
      <c r="J14" s="41">
        <f t="shared" si="2"/>
        <v>60.5</v>
      </c>
      <c r="K14" s="41">
        <f t="shared" si="2"/>
        <v>52.75</v>
      </c>
      <c r="L14" s="41">
        <f t="shared" si="2"/>
        <v>168.5</v>
      </c>
      <c r="M14" s="41">
        <f t="shared" si="2"/>
        <v>596.5</v>
      </c>
      <c r="N14" s="7">
        <f t="shared" si="2"/>
        <v>0.79533333333333334</v>
      </c>
      <c r="O14" s="7">
        <f t="shared" si="2"/>
        <v>2.75</v>
      </c>
      <c r="Q14" s="51">
        <v>0.55500000000000005</v>
      </c>
      <c r="R14" s="6">
        <v>1.2</v>
      </c>
    </row>
    <row r="15" spans="2:18" x14ac:dyDescent="0.25">
      <c r="Q15" s="51">
        <v>0.56999999999999995</v>
      </c>
      <c r="R15" s="6">
        <v>1.3</v>
      </c>
    </row>
    <row r="16" spans="2:18" x14ac:dyDescent="0.25">
      <c r="B16" t="str">
        <f ca="1">_xlfn.IFNA("Formula in cell "&amp;ADDRESS(ROW(M3),COLUMN(M3),4)&amp;": "&amp;_xlfn.FORMULATEXT(M3),"")</f>
        <v>Formula in cell M3: =SUM(C3:L3)</v>
      </c>
      <c r="Q16" s="51">
        <v>0.58499999999999996</v>
      </c>
      <c r="R16" s="6">
        <v>1.4</v>
      </c>
    </row>
    <row r="17" spans="2:18" x14ac:dyDescent="0.25">
      <c r="B17" t="str" cm="1">
        <f t="array" aca="1" ref="B17:B19" ca="1">_xlfn.TOCOL(_xlfn.IFNA("Formula in cell "&amp;ADDRESS(ROW(M6:O6),COLUMN(M6:O6),4)&amp;": "&amp;_xlfn.FORMULATEXT(M6:O6),""))</f>
        <v>Formula in cell M6: =SUM(C6:L6)+$N$3</v>
      </c>
      <c r="F17" s="52" t="s">
        <v>175</v>
      </c>
      <c r="G17" t="str">
        <f ca="1">_xlfn.IFNA("Formula in cell "&amp;ADDRESS(ROW(M6),COLUMN(M6),4)&amp;": "&amp;_xlfn.FORMULATEXT(B56),"")</f>
        <v>Formula in cell M6: =BYROW(C6:L13,SUM)+N3</v>
      </c>
      <c r="Q17" s="51">
        <v>0.6</v>
      </c>
      <c r="R17" s="6">
        <v>1.5</v>
      </c>
    </row>
    <row r="18" spans="2:18" x14ac:dyDescent="0.25">
      <c r="B18" t="str">
        <f ca="1"/>
        <v>Formula in cell N6: =M6/$M$3</v>
      </c>
      <c r="Q18" s="51">
        <v>0.61499999999999999</v>
      </c>
      <c r="R18" s="6">
        <v>1.6</v>
      </c>
    </row>
    <row r="19" spans="2:18" x14ac:dyDescent="0.25">
      <c r="B19" t="str">
        <f ca="1"/>
        <v>Formula in cell O6: =XLOOKUP(N6:N13,Q6:Q40,R6:R40,,-1)</v>
      </c>
      <c r="Q19" s="51">
        <v>0.63</v>
      </c>
      <c r="R19" s="6">
        <v>1.7</v>
      </c>
    </row>
    <row r="20" spans="2:18" x14ac:dyDescent="0.25">
      <c r="B20" t="str">
        <f ca="1">_xlfn.IFNA("Formula in cell "&amp;ADDRESS(ROW(C14),COLUMN(C14),4)&amp;": "&amp;_xlfn.FORMULATEXT(C14),"")</f>
        <v>Formula in cell C14: =AVERAGE(C6:C13)</v>
      </c>
      <c r="F20" s="52" t="s">
        <v>175</v>
      </c>
      <c r="G20" t="str">
        <f ca="1">_xlfn.IFNA("Formula in cell "&amp;ADDRESS(ROW(C14),COLUMN(C14),4)&amp;": "&amp;_xlfn.FORMULATEXT(C52),"")</f>
        <v>Formula in cell C14: =BYCOL(C6:L13,AVERAGE)</v>
      </c>
      <c r="Q20" s="51">
        <v>0.64500000000000002</v>
      </c>
      <c r="R20" s="6">
        <v>1.8</v>
      </c>
    </row>
    <row r="21" spans="2:18" x14ac:dyDescent="0.25">
      <c r="M21" s="4" t="s">
        <v>176</v>
      </c>
      <c r="Q21" s="51">
        <v>0.66</v>
      </c>
      <c r="R21" s="6">
        <v>1.9</v>
      </c>
    </row>
    <row r="22" spans="2:18" x14ac:dyDescent="0.25">
      <c r="Q22" s="51">
        <v>0.67500000000000004</v>
      </c>
      <c r="R22" s="6">
        <v>2</v>
      </c>
    </row>
    <row r="23" spans="2:18" x14ac:dyDescent="0.25">
      <c r="Q23" s="51">
        <v>0.69</v>
      </c>
      <c r="R23" s="6">
        <v>2.1</v>
      </c>
    </row>
    <row r="24" spans="2:18" x14ac:dyDescent="0.25">
      <c r="Q24" s="51">
        <v>0.70499999999999996</v>
      </c>
      <c r="R24" s="6">
        <v>2.2000000000000002</v>
      </c>
    </row>
    <row r="25" spans="2:18" x14ac:dyDescent="0.25">
      <c r="Q25" s="51">
        <v>0.72</v>
      </c>
      <c r="R25" s="6">
        <v>2.2999999999999998</v>
      </c>
    </row>
    <row r="26" spans="2:18" x14ac:dyDescent="0.25">
      <c r="Q26" s="51">
        <v>0.73499999999999999</v>
      </c>
      <c r="R26" s="6">
        <v>2.4</v>
      </c>
    </row>
    <row r="27" spans="2:18" x14ac:dyDescent="0.25">
      <c r="Q27" s="51">
        <v>0.75</v>
      </c>
      <c r="R27" s="6">
        <v>2.5</v>
      </c>
    </row>
    <row r="28" spans="2:18" x14ac:dyDescent="0.25">
      <c r="Q28" s="51">
        <v>0.76500000000000001</v>
      </c>
      <c r="R28" s="6">
        <v>2.6</v>
      </c>
    </row>
    <row r="29" spans="2:18" x14ac:dyDescent="0.25">
      <c r="Q29" s="51">
        <v>0.78</v>
      </c>
      <c r="R29" s="6">
        <v>2.7</v>
      </c>
    </row>
    <row r="30" spans="2:18" x14ac:dyDescent="0.25">
      <c r="Q30" s="51">
        <v>0.79500000000000004</v>
      </c>
      <c r="R30" s="6">
        <v>2.8</v>
      </c>
    </row>
    <row r="31" spans="2:18" x14ac:dyDescent="0.25">
      <c r="Q31" s="51">
        <v>0.81</v>
      </c>
      <c r="R31" s="6">
        <v>2.9</v>
      </c>
    </row>
    <row r="32" spans="2:18" x14ac:dyDescent="0.25">
      <c r="Q32" s="51">
        <v>0.82499999999999996</v>
      </c>
      <c r="R32" s="6">
        <v>3</v>
      </c>
    </row>
    <row r="33" spans="17:18" x14ac:dyDescent="0.25">
      <c r="Q33" s="51">
        <v>0.84</v>
      </c>
      <c r="R33" s="6">
        <v>3.1</v>
      </c>
    </row>
    <row r="34" spans="17:18" x14ac:dyDescent="0.25">
      <c r="Q34" s="51">
        <v>0.85499999999999998</v>
      </c>
      <c r="R34" s="6">
        <v>3.2</v>
      </c>
    </row>
    <row r="35" spans="17:18" x14ac:dyDescent="0.25">
      <c r="Q35" s="51">
        <v>0.87</v>
      </c>
      <c r="R35" s="6">
        <v>3.3</v>
      </c>
    </row>
    <row r="36" spans="17:18" x14ac:dyDescent="0.25">
      <c r="Q36" s="51">
        <v>0.88500000000000001</v>
      </c>
      <c r="R36" s="6">
        <v>3.4</v>
      </c>
    </row>
    <row r="37" spans="17:18" x14ac:dyDescent="0.25">
      <c r="Q37" s="51">
        <v>0.9</v>
      </c>
      <c r="R37" s="6">
        <v>3.5</v>
      </c>
    </row>
    <row r="38" spans="17:18" x14ac:dyDescent="0.25">
      <c r="Q38" s="51">
        <v>0.91500000000000004</v>
      </c>
      <c r="R38" s="6">
        <v>3.6</v>
      </c>
    </row>
    <row r="39" spans="17:18" x14ac:dyDescent="0.25">
      <c r="Q39" s="51">
        <v>0.93</v>
      </c>
      <c r="R39" s="6">
        <v>3.7</v>
      </c>
    </row>
    <row r="40" spans="17:18" x14ac:dyDescent="0.25">
      <c r="Q40" s="51">
        <v>0.94499999999999995</v>
      </c>
      <c r="R40" s="6">
        <v>3.8</v>
      </c>
    </row>
    <row r="41" spans="17:18" x14ac:dyDescent="0.25">
      <c r="Q41" s="51">
        <v>0.96</v>
      </c>
      <c r="R41" s="6">
        <v>3.9</v>
      </c>
    </row>
    <row r="42" spans="17:18" x14ac:dyDescent="0.25">
      <c r="Q42" s="51">
        <v>0.97499999999999998</v>
      </c>
      <c r="R42" s="6">
        <v>4</v>
      </c>
    </row>
    <row r="52" spans="2:15" x14ac:dyDescent="0.25">
      <c r="B52" s="40" t="s">
        <v>70</v>
      </c>
      <c r="C52" s="41" cm="1">
        <f t="array" ref="C52:L52">_xlfn.BYCOL(C6:L13,_xleta.AVERAGE)</f>
        <v>36.75</v>
      </c>
      <c r="D52" s="41">
        <v>40.625</v>
      </c>
      <c r="E52" s="41">
        <v>36.75</v>
      </c>
      <c r="F52" s="41">
        <v>40.125</v>
      </c>
      <c r="G52" s="41">
        <v>39.125</v>
      </c>
      <c r="H52" s="41">
        <v>36.625</v>
      </c>
      <c r="I52" s="41">
        <v>79.75</v>
      </c>
      <c r="J52" s="41">
        <v>60.5</v>
      </c>
      <c r="K52" s="41">
        <v>52.75</v>
      </c>
      <c r="L52" s="41">
        <v>168.5</v>
      </c>
      <c r="M52" s="41"/>
      <c r="N52" s="7"/>
      <c r="O52" s="7"/>
    </row>
    <row r="55" spans="2:15" x14ac:dyDescent="0.25">
      <c r="B55" s="40" t="s">
        <v>63</v>
      </c>
    </row>
    <row r="56" spans="2:15" x14ac:dyDescent="0.25">
      <c r="B56" s="7" cm="1">
        <f t="array" ref="B56:B63">_xlfn.BYROW(C6:L13,_xleta.SUM)+N3</f>
        <v>664</v>
      </c>
    </row>
    <row r="57" spans="2:15" x14ac:dyDescent="0.25">
      <c r="B57" s="7">
        <v>461</v>
      </c>
    </row>
    <row r="58" spans="2:15" x14ac:dyDescent="0.25">
      <c r="B58" s="7">
        <v>496</v>
      </c>
    </row>
    <row r="59" spans="2:15" x14ac:dyDescent="0.25">
      <c r="B59" s="7">
        <v>652</v>
      </c>
    </row>
    <row r="60" spans="2:15" x14ac:dyDescent="0.25">
      <c r="B60" s="7">
        <v>698</v>
      </c>
    </row>
    <row r="61" spans="2:15" x14ac:dyDescent="0.25">
      <c r="B61" s="7">
        <v>715</v>
      </c>
    </row>
    <row r="62" spans="2:15" x14ac:dyDescent="0.25">
      <c r="B62" s="7">
        <v>370</v>
      </c>
    </row>
    <row r="63" spans="2:15" x14ac:dyDescent="0.25">
      <c r="B63" s="7">
        <v>716</v>
      </c>
    </row>
    <row r="64" spans="2:15" x14ac:dyDescent="0.25">
      <c r="B64" s="41"/>
    </row>
  </sheetData>
  <printOptions headings="1"/>
  <pageMargins left="0.7" right="0.7" top="0.75" bottom="0.75" header="0.3" footer="0.3"/>
  <pageSetup scale="7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43C1-1E25-4EFF-AAC9-CD9CFB9916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EB01(C)</vt:lpstr>
      <vt:lpstr>Topics</vt:lpstr>
      <vt:lpstr>WIE</vt:lpstr>
      <vt:lpstr>Notes</vt:lpstr>
      <vt:lpstr>FinishedProject</vt:lpstr>
      <vt:lpstr>Gradebook</vt:lpstr>
      <vt:lpstr>GradebookW(1)(an)</vt:lpstr>
      <vt:lpstr>GradebookS(2)(an)</vt:lpstr>
      <vt:lpstr>GradebookBRBC(an)</vt:lpstr>
      <vt:lpstr>MyNotes</vt:lpstr>
      <vt:lpstr>Homework ==&gt;&gt;</vt:lpstr>
      <vt:lpstr>HW(1)</vt:lpstr>
      <vt:lpstr>HW(1an)</vt:lpstr>
      <vt:lpstr>Sheet1</vt:lpstr>
      <vt:lpstr>'EB01(C)'!Print_Area</vt:lpstr>
      <vt:lpstr>FinishedProject!Print_Area</vt:lpstr>
      <vt:lpstr>Gradebook!Print_Area</vt:lpstr>
      <vt:lpstr>'GradebookBRBC(an)'!Print_Area</vt:lpstr>
      <vt:lpstr>'GradebookS(2)(an)'!Print_Area</vt:lpstr>
      <vt:lpstr>'GradebookW(1)(an)'!Print_Area</vt:lpstr>
      <vt:lpstr>'HW(1an)'!Print_Area</vt:lpstr>
      <vt:lpstr>Notes!Print_Area</vt:lpstr>
      <vt:lpstr>WIE!Print_Area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Me</cp:lastModifiedBy>
  <cp:lastPrinted>2026-05-13T21:15:14Z</cp:lastPrinted>
  <dcterms:created xsi:type="dcterms:W3CDTF">2015-06-05T18:17:20Z</dcterms:created>
  <dcterms:modified xsi:type="dcterms:W3CDTF">2026-05-14T11:16:34Z</dcterms:modified>
</cp:coreProperties>
</file>